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bf55ff982aee02bd/Desktop/cv/"/>
    </mc:Choice>
  </mc:AlternateContent>
  <xr:revisionPtr revIDLastSave="0" documentId="8_{3FB5767F-5A3C-4CEF-98DA-82088271B935}" xr6:coauthVersionLast="47" xr6:coauthVersionMax="47" xr10:uidLastSave="{00000000-0000-0000-0000-000000000000}"/>
  <bookViews>
    <workbookView xWindow="-98" yWindow="-98" windowWidth="21795" windowHeight="12975" activeTab="1" xr2:uid="{0EF548CE-216A-4B6E-B1E6-F4EF3E09000A}"/>
  </bookViews>
  <sheets>
    <sheet name="Pivot Report" sheetId="1" r:id="rId1"/>
    <sheet name="Dashboard" sheetId="2" r:id="rId2"/>
    <sheet name="Avg Satisfaction score" sheetId="6" r:id="rId3"/>
    <sheet name="Patients daily wait time" sheetId="5" r:id="rId4"/>
    <sheet name="Daily Number of patients" sheetId="4"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8077fdf6-dfba-4b00-b21b-e6d126cd7c58" name="Hospital Emergency Room Data" connection="Query - Hospital Emergency Room Data"/>
          <x15:modelTable id="Calender Date_527e67b9-c1c6-4de0-8514-9a43c2312f8e" name="Calender Date" connection="Query - Calender Date"/>
        </x15:modelTables>
        <x15:modelRelationships>
          <x15:modelRelationship fromTable="Hospital Emergency Room Data" fromColumn="Patient Admission Date" toTable="Calender Date" toColumn="Date"/>
        </x15:modelRelationships>
        <x15:extLst>
          <ext xmlns:x16="http://schemas.microsoft.com/office/spreadsheetml/2014/11/main" uri="{9835A34E-60A6-4A7C-AAB8-D5F71C897F49}">
            <x16:modelTimeGroupings>
              <x16:modelTimeGrouping tableName="Calender Date"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3" i="1" l="1"/>
  <c r="D42" i="1"/>
  <c r="C43" i="1"/>
  <c r="C42" i="1"/>
  <c r="B43" i="1"/>
  <c r="B4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185AB1-BFFD-483C-8C95-B1C8B448816C}" name="Query - Calender Date" description="Connection to the 'Calender Date' query in the workbook." type="100" refreshedVersion="8" minRefreshableVersion="5">
    <extLst>
      <ext xmlns:x15="http://schemas.microsoft.com/office/spreadsheetml/2010/11/main" uri="{DE250136-89BD-433C-8126-D09CA5730AF9}">
        <x15:connection id="4e816bfb-e591-428b-8915-ea06a7e4db56"/>
      </ext>
    </extLst>
  </connection>
  <connection id="2" xr16:uid="{968309E3-5A99-49C8-B48E-63EF9B5CEC6F}"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f63e186d-2274-4864-9c30-9c77f1f32871"/>
      </ext>
    </extLst>
  </connection>
  <connection id="3" xr16:uid="{C29AE3FB-A829-46AF-B764-CBC439894CD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<sst xmlns="http://schemas.openxmlformats.org/spreadsheetml/2006/main" count="150" uniqueCount="68">
  <si>
    <t>Distinct Count of Patient Id</t>
  </si>
  <si>
    <t>No.Of Patients</t>
  </si>
  <si>
    <t>Average of Patient Waittime</t>
  </si>
  <si>
    <t>Average of Patient Satisfaction Score</t>
  </si>
  <si>
    <t>Grand Total</t>
  </si>
  <si>
    <t>Row Labels</t>
  </si>
  <si>
    <t>Count of Patient Id</t>
  </si>
  <si>
    <t>Admitted</t>
  </si>
  <si>
    <t>Not Admitted</t>
  </si>
  <si>
    <t>Count of Patient Admission Flag</t>
  </si>
  <si>
    <t>Admission Status</t>
  </si>
  <si>
    <t>No.Of Patient</t>
  </si>
  <si>
    <t>% Status</t>
  </si>
  <si>
    <t>0-9</t>
  </si>
  <si>
    <t>10-19</t>
  </si>
  <si>
    <t>20-29</t>
  </si>
  <si>
    <t>30-39</t>
  </si>
  <si>
    <t>40-49</t>
  </si>
  <si>
    <t>50-59</t>
  </si>
  <si>
    <t>60-69</t>
  </si>
  <si>
    <t>70-79</t>
  </si>
  <si>
    <t>Count of Patient Age Group</t>
  </si>
  <si>
    <t>Ontime</t>
  </si>
  <si>
    <t>Delay</t>
  </si>
  <si>
    <t>Female</t>
  </si>
  <si>
    <t>Male</t>
  </si>
  <si>
    <t>Count of Patient Gender</t>
  </si>
  <si>
    <t>Cardiology</t>
  </si>
  <si>
    <t>Gastroenterology</t>
  </si>
  <si>
    <t>General Practice</t>
  </si>
  <si>
    <t>Neurology</t>
  </si>
  <si>
    <t>None</t>
  </si>
  <si>
    <t>Orthopedics</t>
  </si>
  <si>
    <t>Physiotherapy</t>
  </si>
  <si>
    <t>Renal</t>
  </si>
  <si>
    <t>Count of Department Referral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</si>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</sst>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4" tint="-0.499984740745262"/>
        <bgColor indexed="64"/>
      </patternFill>
    </fill>
    <fill>
      <patternFill patternType="solid">
        <fgColor theme="9" tint="0.79998168889431442"/>
        <bgColor indexed="64"/>
      </patternFill>
    </fill>
    <fill>
      <patternFill patternType="solid">
        <fgColor theme="5" tint="0.59999389629810485"/>
        <bgColor indexed="64"/>
      </patternFill>
    </fill>
  </fills>
  <borders count="14">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style="thin">
        <color rgb="FFABABAB"/>
      </left>
      <right style="thin">
        <color rgb="FFABABAB"/>
      </right>
      <top style="thin">
        <color indexed="65"/>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3">
    <xf numFmtId="0" fontId="0" fillId="0" borderId="0" xfId="0"/>
    <xf numFmtId="0" fontId="1" fillId="0" borderId="3" xfId="0" applyFont="1" applyBorder="1"/>
    <xf numFmtId="2" fontId="0" fillId="0" borderId="4" xfId="0" applyNumberFormat="1" applyBorder="1"/>
    <xf numFmtId="0" fontId="0" fillId="2" borderId="0" xfId="0" applyFill="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5" xfId="0" applyBorder="1" applyAlignment="1">
      <alignment horizontal="left"/>
    </xf>
    <xf numFmtId="2" fontId="0" fillId="0" borderId="3" xfId="0" applyNumberFormat="1" applyBorder="1"/>
    <xf numFmtId="2" fontId="0" fillId="0" borderId="6" xfId="0" applyNumberFormat="1" applyBorder="1"/>
    <xf numFmtId="10" fontId="0" fillId="0" borderId="3" xfId="0" applyNumberFormat="1" applyBorder="1"/>
    <xf numFmtId="10" fontId="0" fillId="0" borderId="6" xfId="0" applyNumberFormat="1" applyBorder="1"/>
    <xf numFmtId="10" fontId="0" fillId="0" borderId="4" xfId="0" applyNumberFormat="1" applyBorder="1"/>
    <xf numFmtId="0" fontId="1" fillId="0" borderId="0" xfId="0" applyFont="1"/>
    <xf numFmtId="0" fontId="0" fillId="3" borderId="10" xfId="0" applyFill="1" applyBorder="1"/>
    <xf numFmtId="0" fontId="0" fillId="3" borderId="13" xfId="0" applyFill="1" applyBorder="1"/>
    <xf numFmtId="0" fontId="1" fillId="4" borderId="7" xfId="0" applyFont="1" applyFill="1" applyBorder="1"/>
    <xf numFmtId="0" fontId="1" fillId="4" borderId="7" xfId="0" applyFont="1" applyFill="1" applyBorder="1" applyAlignment="1">
      <alignment horizontal="center"/>
    </xf>
    <xf numFmtId="0" fontId="0" fillId="3" borderId="8" xfId="0" applyFill="1" applyBorder="1" applyAlignment="1">
      <alignment horizontal="center"/>
    </xf>
    <xf numFmtId="2" fontId="0" fillId="3" borderId="9" xfId="0" applyNumberFormat="1" applyFill="1" applyBorder="1" applyAlignment="1">
      <alignment horizontal="center"/>
    </xf>
    <xf numFmtId="10" fontId="0" fillId="3" borderId="9" xfId="0" applyNumberFormat="1" applyFill="1" applyBorder="1" applyAlignment="1">
      <alignment horizontal="center"/>
    </xf>
    <xf numFmtId="0" fontId="0" fillId="3" borderId="11" xfId="0" applyFill="1" applyBorder="1" applyAlignment="1">
      <alignment horizontal="center"/>
    </xf>
    <xf numFmtId="2" fontId="0" fillId="3" borderId="12" xfId="0" applyNumberFormat="1" applyFill="1" applyBorder="1" applyAlignment="1">
      <alignment horizontal="center"/>
    </xf>
    <xf numFmtId="10" fontId="0" fillId="3" borderId="12" xfId="0" applyNumberFormat="1" applyFill="1" applyBorder="1" applyAlignment="1">
      <alignment horizontal="center"/>
    </xf>
    <xf numFmtId="0" fontId="0" fillId="0" borderId="3" xfId="0" applyBorder="1"/>
    <xf numFmtId="0" fontId="0" fillId="0" borderId="6" xfId="0" applyBorder="1"/>
    <xf numFmtId="0" fontId="0" fillId="0" borderId="4" xfId="0" applyBorder="1"/>
    <xf numFmtId="0" fontId="0" fillId="0" borderId="3" xfId="0" pivotButton="1" applyBorder="1"/>
    <xf numFmtId="0" fontId="0" fillId="0" borderId="3" xfId="0" applyBorder="1" applyAlignment="1">
      <alignment horizontal="left"/>
    </xf>
    <xf numFmtId="0" fontId="0" fillId="0" borderId="4" xfId="0" applyBorder="1" applyAlignment="1">
      <alignment horizontal="left"/>
    </xf>
    <xf numFmtId="1" fontId="0" fillId="0" borderId="3" xfId="0" applyNumberFormat="1" applyBorder="1"/>
    <xf numFmtId="1" fontId="0" fillId="0" borderId="6" xfId="0" applyNumberFormat="1" applyBorder="1"/>
    <xf numFmtId="1" fontId="0" fillId="0" borderId="4" xfId="0" applyNumberFormat="1" applyBorder="1"/>
  </cellXfs>
  <cellStyles count="1">
    <cellStyle name="Normal" xfId="0" builtinId="0"/>
  </cellStyles>
  <dxfs count="26">
    <dxf>
      <numFmt numFmtId="2" formatCode="0.00"/>
    </dxf>
    <dxf>
      <font>
        <b/>
      </font>
    </dxf>
    <dxf>
      <numFmt numFmtId="2" formatCode="0.00"/>
    </dxf>
    <dxf>
      <font>
        <b/>
      </font>
    </dxf>
    <dxf>
      <numFmt numFmtId="1" formatCode="0"/>
    </dxf>
    <dxf>
      <font>
        <b/>
      </font>
    </dxf>
    <dxf>
      <numFmt numFmtId="2" formatCode="0.00"/>
    </dxf>
    <dxf>
      <font>
        <b/>
      </font>
    </dxf>
    <dxf>
      <numFmt numFmtId="1" formatCode="0"/>
    </dxf>
    <dxf>
      <font>
        <b/>
      </font>
    </dxf>
    <dxf>
      <numFmt numFmtId="2" formatCode="0.00"/>
    </dxf>
    <dxf>
      <font>
        <b/>
      </font>
    </dxf>
    <dxf>
      <font>
        <b/>
      </font>
    </dxf>
    <dxf>
      <numFmt numFmtId="1" formatCode="0"/>
    </dxf>
    <dxf>
      <font>
        <b/>
      </font>
    </dxf>
    <dxf>
      <numFmt numFmtId="1" formatCode="0"/>
    </dxf>
    <dxf>
      <font>
        <b/>
      </font>
    </dxf>
    <dxf>
      <font>
        <b/>
      </font>
    </dxf>
    <dxf>
      <numFmt numFmtId="2" formatCode="0.00"/>
    </dxf>
    <dxf>
      <font>
        <b/>
      </font>
    </dxf>
    <dxf>
      <numFmt numFmtId="1" formatCode="0"/>
    </dxf>
    <dxf>
      <font>
        <b/>
      </font>
    </dxf>
    <dxf>
      <font>
        <color rgb="FFFF99CC"/>
      </font>
      <fill>
        <patternFill>
          <bgColor theme="7" tint="-0.24994659260841701"/>
        </patternFill>
      </fill>
    </dxf>
    <dxf>
      <font>
        <color rgb="FFFF99CC"/>
      </font>
      <fill>
        <patternFill>
          <bgColor theme="7" tint="-0.499984740745262"/>
        </patternFill>
      </fill>
    </dxf>
    <dxf>
      <font>
        <b/>
        <color theme="1"/>
      </font>
      <border>
        <bottom style="thin">
          <color theme="7"/>
        </bottom>
        <vertical/>
        <horizontal/>
      </border>
    </dxf>
    <dxf>
      <font>
        <sz val="9"/>
        <color rgb="FFFF99CC"/>
      </font>
      <border>
        <left style="thin">
          <color theme="7"/>
        </left>
        <right style="thin">
          <color theme="7"/>
        </right>
        <top style="thin">
          <color theme="7"/>
        </top>
        <bottom style="thin">
          <color theme="7"/>
        </bottom>
        <vertical/>
        <horizontal/>
      </border>
    </dxf>
  </dxfs>
  <tableStyles count="3" defaultTableStyle="TableStyleMedium2" defaultPivotStyle="PivotStyleLight16">
    <tableStyle name="my style" pivot="0" table="0" count="10" xr9:uid="{330A8573-A84A-4C9F-B059-89EF89AB11E3}">
      <tableStyleElement type="wholeTable" dxfId="25"/>
      <tableStyleElement type="headerRow" dxfId="24"/>
    </tableStyle>
    <tableStyle name="Slicer Style 1" pivot="0" table="0" count="1" xr9:uid="{15CCA8C6-EA00-46AB-A0B0-0E46B311A00D}">
      <tableStyleElement type="wholeTable" dxfId="23"/>
    </tableStyle>
    <tableStyle name="Slicer Style 2" pivot="0" table="0" count="1" xr9:uid="{94B94F79-EF29-47E2-ADD4-F4EA94E87973}">
      <tableStyleElement type="wholeTable" dxfId="22"/>
    </tableStyle>
  </tableStyles>
  <colors>
    <mruColors>
      <color rgb="FFFF99C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val>
            <c:numRef>
              <c:f>'Pivot Report'!$D$37:$D$38</c:f>
              <c:numCache>
                <c:formatCode>0.00%</c:formatCode>
                <c:ptCount val="2"/>
                <c:pt idx="0">
                  <c:v>0.49549549549549549</c:v>
                </c:pt>
                <c:pt idx="1">
                  <c:v>0.50450450450450446</c:v>
                </c:pt>
              </c:numCache>
            </c:numRef>
          </c:val>
          <c:extLst>
            <c:ext xmlns:c16="http://schemas.microsoft.com/office/drawing/2014/chart" uri="{C3380CC4-5D6E-409C-BE32-E72D297353CC}">
              <c16:uniqueId val="{00000000-A83D-4E36-A282-F7D098DE5DDE}"/>
            </c:ext>
          </c:extLst>
        </c:ser>
        <c:dLbls>
          <c:dLblPos val="outEnd"/>
          <c:showLegendKey val="0"/>
          <c:showVal val="1"/>
          <c:showCatName val="0"/>
          <c:showSerName val="0"/>
          <c:showPercent val="0"/>
          <c:showBubbleSize val="0"/>
        </c:dLbls>
        <c:gapWidth val="182"/>
        <c:axId val="1091787472"/>
        <c:axId val="1091794672"/>
      </c:barChart>
      <c:catAx>
        <c:axId val="1091787472"/>
        <c:scaling>
          <c:orientation val="minMax"/>
        </c:scaling>
        <c:delete val="1"/>
        <c:axPos val="l"/>
        <c:majorTickMark val="none"/>
        <c:minorTickMark val="none"/>
        <c:tickLblPos val="nextTo"/>
        <c:crossAx val="1091794672"/>
        <c:crosses val="autoZero"/>
        <c:auto val="1"/>
        <c:lblAlgn val="ctr"/>
        <c:lblOffset val="100"/>
        <c:noMultiLvlLbl val="0"/>
      </c:catAx>
      <c:valAx>
        <c:axId val="1091794672"/>
        <c:scaling>
          <c:orientation val="minMax"/>
        </c:scaling>
        <c:delete val="1"/>
        <c:axPos val="b"/>
        <c:numFmt formatCode="0.00%" sourceLinked="1"/>
        <c:majorTickMark val="none"/>
        <c:minorTickMark val="none"/>
        <c:tickLblPos val="nextTo"/>
        <c:crossAx val="109178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emergency^L.xlsx]Pivot Report!PivotTable7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179881283739252E-2"/>
          <c:y val="0.1694816791853942"/>
          <c:w val="0.92221122893895036"/>
          <c:h val="0.48264557599347946"/>
        </c:manualLayout>
      </c:layout>
      <c:areaChart>
        <c:grouping val="standard"/>
        <c:varyColors val="0"/>
        <c:ser>
          <c:idx val="0"/>
          <c:order val="0"/>
          <c:tx>
            <c:strRef>
              <c:f>'Pivot Report'!$D$2</c:f>
              <c:strCache>
                <c:ptCount val="1"/>
                <c:pt idx="0">
                  <c:v>Total</c:v>
                </c:pt>
              </c:strCache>
            </c:strRef>
          </c:tx>
          <c:spPr>
            <a:solidFill>
              <a:srgbClr val="FF99CC"/>
            </a:solidFill>
            <a:ln>
              <a:noFill/>
            </a:ln>
            <a:effectLst/>
          </c:spPr>
          <c:cat>
            <c:strRef>
              <c:f>'Pivot Report'!$C$3:$C$34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Report'!$D$3:$D$34</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B978-4299-A7C1-E131EBF53AE0}"/>
            </c:ext>
          </c:extLst>
        </c:ser>
        <c:dLbls>
          <c:showLegendKey val="0"/>
          <c:showVal val="0"/>
          <c:showCatName val="0"/>
          <c:showSerName val="0"/>
          <c:showPercent val="0"/>
          <c:showBubbleSize val="0"/>
        </c:dLbls>
        <c:axId val="612824127"/>
        <c:axId val="612826527"/>
      </c:areaChart>
      <c:catAx>
        <c:axId val="612824127"/>
        <c:scaling>
          <c:orientation val="minMax"/>
        </c:scaling>
        <c:delete val="1"/>
        <c:axPos val="b"/>
        <c:numFmt formatCode="General" sourceLinked="1"/>
        <c:majorTickMark val="none"/>
        <c:minorTickMark val="none"/>
        <c:tickLblPos val="nextTo"/>
        <c:crossAx val="612826527"/>
        <c:crosses val="autoZero"/>
        <c:auto val="1"/>
        <c:lblAlgn val="ctr"/>
        <c:lblOffset val="100"/>
        <c:noMultiLvlLbl val="0"/>
      </c:catAx>
      <c:valAx>
        <c:axId val="612826527"/>
        <c:scaling>
          <c:orientation val="minMax"/>
        </c:scaling>
        <c:delete val="1"/>
        <c:axPos val="l"/>
        <c:numFmt formatCode="General" sourceLinked="1"/>
        <c:majorTickMark val="none"/>
        <c:minorTickMark val="none"/>
        <c:tickLblPos val="nextTo"/>
        <c:crossAx val="6128241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emergency^L.xlsx]Pivot Report!PivotTable8</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835603829690054E-2"/>
          <c:y val="0.12535612535612536"/>
          <c:w val="0.83926945262446984"/>
          <c:h val="0.43454875832828588"/>
        </c:manualLayout>
      </c:layout>
      <c:areaChart>
        <c:grouping val="standard"/>
        <c:varyColors val="0"/>
        <c:ser>
          <c:idx val="0"/>
          <c:order val="0"/>
          <c:tx>
            <c:strRef>
              <c:f>'Pivot Report'!$H$2</c:f>
              <c:strCache>
                <c:ptCount val="1"/>
                <c:pt idx="0">
                  <c:v>Total</c:v>
                </c:pt>
              </c:strCache>
            </c:strRef>
          </c:tx>
          <c:spPr>
            <a:solidFill>
              <a:srgbClr val="FF99CC"/>
            </a:solidFill>
            <a:ln>
              <a:noFill/>
            </a:ln>
            <a:effectLst/>
          </c:spPr>
          <c:cat>
            <c:strRef>
              <c:f>'Pivot Report'!$G$3:$G$34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Report'!$H$3:$H$34</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D579-4261-BA2A-FCCA803466C7}"/>
            </c:ext>
          </c:extLst>
        </c:ser>
        <c:dLbls>
          <c:showLegendKey val="0"/>
          <c:showVal val="0"/>
          <c:showCatName val="0"/>
          <c:showSerName val="0"/>
          <c:showPercent val="0"/>
          <c:showBubbleSize val="0"/>
        </c:dLbls>
        <c:axId val="399804432"/>
        <c:axId val="399802992"/>
      </c:areaChart>
      <c:catAx>
        <c:axId val="399804432"/>
        <c:scaling>
          <c:orientation val="minMax"/>
        </c:scaling>
        <c:delete val="1"/>
        <c:axPos val="b"/>
        <c:numFmt formatCode="General" sourceLinked="1"/>
        <c:majorTickMark val="out"/>
        <c:minorTickMark val="none"/>
        <c:tickLblPos val="nextTo"/>
        <c:crossAx val="399802992"/>
        <c:crosses val="autoZero"/>
        <c:auto val="1"/>
        <c:lblAlgn val="ctr"/>
        <c:lblOffset val="100"/>
        <c:noMultiLvlLbl val="0"/>
      </c:catAx>
      <c:valAx>
        <c:axId val="399802992"/>
        <c:scaling>
          <c:orientation val="minMax"/>
        </c:scaling>
        <c:delete val="1"/>
        <c:axPos val="l"/>
        <c:numFmt formatCode="0.00" sourceLinked="1"/>
        <c:majorTickMark val="out"/>
        <c:minorTickMark val="none"/>
        <c:tickLblPos val="nextTo"/>
        <c:crossAx val="3998044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emergency^L.xlsx]Pivot Report!PivotTable5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99C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854385684230595E-2"/>
          <c:y val="3.4744830680506232E-2"/>
          <c:w val="0.94311716842101678"/>
          <c:h val="0.68729652387544393"/>
        </c:manualLayout>
      </c:layout>
      <c:barChart>
        <c:barDir val="col"/>
        <c:grouping val="clustered"/>
        <c:varyColors val="0"/>
        <c:ser>
          <c:idx val="0"/>
          <c:order val="0"/>
          <c:tx>
            <c:strRef>
              <c:f>'Pivot Report'!$B$45</c:f>
              <c:strCache>
                <c:ptCount val="1"/>
                <c:pt idx="0">
                  <c:v>Total</c:v>
                </c:pt>
              </c:strCache>
            </c:strRef>
          </c:tx>
          <c:spPr>
            <a:solidFill>
              <a:srgbClr val="FF99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99C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Report'!$A$46:$A$54</c:f>
              <c:strCache>
                <c:ptCount val="8"/>
                <c:pt idx="0">
                  <c:v>0-9</c:v>
                </c:pt>
                <c:pt idx="1">
                  <c:v>10-19</c:v>
                </c:pt>
                <c:pt idx="2">
                  <c:v>20-29</c:v>
                </c:pt>
                <c:pt idx="3">
                  <c:v>30-39</c:v>
                </c:pt>
                <c:pt idx="4">
                  <c:v>40-49</c:v>
                </c:pt>
                <c:pt idx="5">
                  <c:v>50-59</c:v>
                </c:pt>
                <c:pt idx="6">
                  <c:v>60-69</c:v>
                </c:pt>
                <c:pt idx="7">
                  <c:v>70-79</c:v>
                </c:pt>
              </c:strCache>
            </c:strRef>
          </c:cat>
          <c:val>
            <c:numRef>
              <c:f>'Pivot Report'!$B$46:$B$54</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2725-4553-B53D-D119CC8A2CD9}"/>
            </c:ext>
          </c:extLst>
        </c:ser>
        <c:dLbls>
          <c:dLblPos val="outEnd"/>
          <c:showLegendKey val="0"/>
          <c:showVal val="1"/>
          <c:showCatName val="0"/>
          <c:showSerName val="0"/>
          <c:showPercent val="0"/>
          <c:showBubbleSize val="0"/>
        </c:dLbls>
        <c:gapWidth val="219"/>
        <c:overlap val="-27"/>
        <c:axId val="1810512464"/>
        <c:axId val="1810513904"/>
      </c:barChart>
      <c:catAx>
        <c:axId val="1810512464"/>
        <c:scaling>
          <c:orientation val="minMax"/>
        </c:scaling>
        <c:delete val="1"/>
        <c:axPos val="b"/>
        <c:numFmt formatCode="General" sourceLinked="1"/>
        <c:majorTickMark val="none"/>
        <c:minorTickMark val="none"/>
        <c:tickLblPos val="nextTo"/>
        <c:crossAx val="1810513904"/>
        <c:crosses val="autoZero"/>
        <c:auto val="1"/>
        <c:lblAlgn val="ctr"/>
        <c:lblOffset val="100"/>
        <c:noMultiLvlLbl val="0"/>
      </c:catAx>
      <c:valAx>
        <c:axId val="1810513904"/>
        <c:scaling>
          <c:orientation val="minMax"/>
        </c:scaling>
        <c:delete val="1"/>
        <c:axPos val="l"/>
        <c:numFmt formatCode="0" sourceLinked="1"/>
        <c:majorTickMark val="none"/>
        <c:minorTickMark val="none"/>
        <c:tickLblPos val="nextTo"/>
        <c:crossAx val="181051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emergency^L.xlsx]Pivot Report!PivotTable6</c:name>
    <c:fmtId val="12"/>
  </c:pivotSource>
  <c:chart>
    <c:autoTitleDeleted val="1"/>
    <c:pivotFmts>
      <c:pivotFmt>
        <c:idx val="0"/>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lumMod val="20000"/>
              <a:lumOff val="80000"/>
            </a:schemeClr>
          </a:solidFill>
          <a:ln>
            <a:noFill/>
          </a:ln>
          <a:effectLst>
            <a:outerShdw blurRad="317500" algn="ctr" rotWithShape="0">
              <a:prstClr val="black">
                <a:alpha val="25000"/>
              </a:prstClr>
            </a:outerShdw>
          </a:effectLst>
        </c:spPr>
      </c:pivotFmt>
      <c:pivotFmt>
        <c:idx val="6"/>
        <c:spPr>
          <a:solidFill>
            <a:schemeClr val="accent2">
              <a:lumMod val="60000"/>
              <a:lumOff val="40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 Report'!$B$57</c:f>
              <c:strCache>
                <c:ptCount val="1"/>
                <c:pt idx="0">
                  <c:v>Total</c:v>
                </c:pt>
              </c:strCache>
            </c:strRef>
          </c:tx>
          <c:dPt>
            <c:idx val="0"/>
            <c:bubble3D val="0"/>
            <c:spPr>
              <a:solidFill>
                <a:schemeClr val="accent6">
                  <a:lumMod val="20000"/>
                  <a:lumOff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BCC-4192-8739-C6DE6D5E28D1}"/>
              </c:ext>
            </c:extLst>
          </c:dPt>
          <c:dPt>
            <c:idx val="1"/>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BCC-4192-8739-C6DE6D5E28D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Report'!$A$58:$A$60</c:f>
              <c:strCache>
                <c:ptCount val="2"/>
                <c:pt idx="0">
                  <c:v>Delay</c:v>
                </c:pt>
                <c:pt idx="1">
                  <c:v>Ontime</c:v>
                </c:pt>
              </c:strCache>
            </c:strRef>
          </c:cat>
          <c:val>
            <c:numRef>
              <c:f>'Pivot Report'!$B$58:$B$60</c:f>
              <c:numCache>
                <c:formatCode>0</c:formatCode>
                <c:ptCount val="2"/>
                <c:pt idx="0">
                  <c:v>316</c:v>
                </c:pt>
                <c:pt idx="1">
                  <c:v>197</c:v>
                </c:pt>
              </c:numCache>
            </c:numRef>
          </c:val>
          <c:extLst>
            <c:ext xmlns:c16="http://schemas.microsoft.com/office/drawing/2014/chart" uri="{C3380CC4-5D6E-409C-BE32-E72D297353CC}">
              <c16:uniqueId val="{00000004-3BCC-4192-8739-C6DE6D5E28D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7.3178558865708801E-2"/>
          <c:y val="5.8945774160920894E-2"/>
          <c:w val="0.80054974926880373"/>
          <c:h val="8.94172203692379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40000"/>
                  <a:lumOff val="6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emergency^L.xlsx]Pivot Report!PivotTable10</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8.6616067049987255E-2"/>
          <c:y val="0.1734419811535485"/>
          <c:w val="0.48158287558484619"/>
          <c:h val="0.78958835981244591"/>
        </c:manualLayout>
      </c:layout>
      <c:doughnutChart>
        <c:varyColors val="1"/>
        <c:ser>
          <c:idx val="0"/>
          <c:order val="0"/>
          <c:tx>
            <c:strRef>
              <c:f>'Pivot Report'!$E$46</c:f>
              <c:strCache>
                <c:ptCount val="1"/>
                <c:pt idx="0">
                  <c:v>Total</c:v>
                </c:pt>
              </c:strCache>
            </c:strRef>
          </c:tx>
          <c:dPt>
            <c:idx val="0"/>
            <c:bubble3D val="0"/>
            <c:spPr>
              <a:solidFill>
                <a:schemeClr val="accent6">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1C5-4797-BDF5-9A2E6EFE121F}"/>
              </c:ext>
            </c:extLst>
          </c:dPt>
          <c:dPt>
            <c:idx val="1"/>
            <c:bubble3D val="0"/>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1C5-4797-BDF5-9A2E6EFE121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Report'!$D$47:$D$49</c:f>
              <c:strCache>
                <c:ptCount val="2"/>
                <c:pt idx="0">
                  <c:v>Female</c:v>
                </c:pt>
                <c:pt idx="1">
                  <c:v>Male</c:v>
                </c:pt>
              </c:strCache>
            </c:strRef>
          </c:cat>
          <c:val>
            <c:numRef>
              <c:f>'Pivot Report'!$E$47:$E$49</c:f>
              <c:numCache>
                <c:formatCode>0</c:formatCode>
                <c:ptCount val="2"/>
                <c:pt idx="0">
                  <c:v>241</c:v>
                </c:pt>
                <c:pt idx="1">
                  <c:v>272</c:v>
                </c:pt>
              </c:numCache>
            </c:numRef>
          </c:val>
          <c:extLst>
            <c:ext xmlns:c16="http://schemas.microsoft.com/office/drawing/2014/chart" uri="{C3380CC4-5D6E-409C-BE32-E72D297353CC}">
              <c16:uniqueId val="{00000004-41C5-4797-BDF5-9A2E6EFE121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0388493023840172"/>
          <c:y val="5.4873787954659262E-2"/>
          <c:w val="0.3913291174846264"/>
          <c:h val="8.217701953922425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emergency^L.xlsx]Pivot Report!PivotTable12</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99C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99C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81862889287023"/>
          <c:y val="0.11430354787741083"/>
          <c:w val="0.67125630363620281"/>
          <c:h val="0.88100070147403242"/>
        </c:manualLayout>
      </c:layout>
      <c:barChart>
        <c:barDir val="bar"/>
        <c:grouping val="clustered"/>
        <c:varyColors val="0"/>
        <c:ser>
          <c:idx val="0"/>
          <c:order val="0"/>
          <c:tx>
            <c:strRef>
              <c:f>'Pivot Report'!$E$52</c:f>
              <c:strCache>
                <c:ptCount val="1"/>
                <c:pt idx="0">
                  <c:v>Total</c:v>
                </c:pt>
              </c:strCache>
            </c:strRef>
          </c:tx>
          <c:spPr>
            <a:solidFill>
              <a:srgbClr val="FF99CC"/>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F99C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Report'!$D$53:$D$61</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Report'!$E$53:$E$61</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6B4F-4D19-BB0A-58221865CA55}"/>
            </c:ext>
          </c:extLst>
        </c:ser>
        <c:dLbls>
          <c:dLblPos val="outEnd"/>
          <c:showLegendKey val="0"/>
          <c:showVal val="1"/>
          <c:showCatName val="0"/>
          <c:showSerName val="0"/>
          <c:showPercent val="0"/>
          <c:showBubbleSize val="0"/>
        </c:dLbls>
        <c:gapWidth val="182"/>
        <c:axId val="1982387664"/>
        <c:axId val="1982385744"/>
      </c:barChart>
      <c:catAx>
        <c:axId val="1982387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99CC"/>
                </a:solidFill>
                <a:latin typeface="+mn-lt"/>
                <a:ea typeface="+mn-ea"/>
                <a:cs typeface="+mn-cs"/>
              </a:defRPr>
            </a:pPr>
            <a:endParaRPr lang="en-US"/>
          </a:p>
        </c:txPr>
        <c:crossAx val="1982385744"/>
        <c:crosses val="autoZero"/>
        <c:auto val="1"/>
        <c:lblAlgn val="ctr"/>
        <c:lblOffset val="100"/>
        <c:noMultiLvlLbl val="0"/>
      </c:catAx>
      <c:valAx>
        <c:axId val="1982385744"/>
        <c:scaling>
          <c:orientation val="minMax"/>
        </c:scaling>
        <c:delete val="1"/>
        <c:axPos val="b"/>
        <c:numFmt formatCode="0" sourceLinked="1"/>
        <c:majorTickMark val="none"/>
        <c:minorTickMark val="none"/>
        <c:tickLblPos val="nextTo"/>
        <c:crossAx val="1982387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rgbClr val="FF99CC"/>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emergency^L.xlsx]Pivot Report!PivotTable9</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35764010022625E-2"/>
          <c:y val="3.3755274261603373E-2"/>
          <c:w val="0.90382513661202191"/>
          <c:h val="0.67941693812196158"/>
        </c:manualLayout>
      </c:layout>
      <c:areaChart>
        <c:grouping val="standard"/>
        <c:varyColors val="0"/>
        <c:ser>
          <c:idx val="0"/>
          <c:order val="0"/>
          <c:tx>
            <c:strRef>
              <c:f>'Pivot Report'!$K$2</c:f>
              <c:strCache>
                <c:ptCount val="1"/>
                <c:pt idx="0">
                  <c:v>Total</c:v>
                </c:pt>
              </c:strCache>
            </c:strRef>
          </c:tx>
          <c:spPr>
            <a:solidFill>
              <a:srgbClr val="FF99CC"/>
            </a:solidFill>
            <a:ln>
              <a:noFill/>
            </a:ln>
            <a:effectLst/>
          </c:spPr>
          <c:cat>
            <c:strRef>
              <c:f>'Pivot Report'!$J$3:$J$34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Report'!$K$3:$K$34</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EC3A-4343-B5BC-59BBE3231E13}"/>
            </c:ext>
          </c:extLst>
        </c:ser>
        <c:dLbls>
          <c:showLegendKey val="0"/>
          <c:showVal val="0"/>
          <c:showCatName val="0"/>
          <c:showSerName val="0"/>
          <c:showPercent val="0"/>
          <c:showBubbleSize val="0"/>
        </c:dLbls>
        <c:axId val="1918186799"/>
        <c:axId val="1918188719"/>
      </c:areaChart>
      <c:catAx>
        <c:axId val="1918186799"/>
        <c:scaling>
          <c:orientation val="minMax"/>
        </c:scaling>
        <c:delete val="1"/>
        <c:axPos val="b"/>
        <c:numFmt formatCode="General" sourceLinked="1"/>
        <c:majorTickMark val="out"/>
        <c:minorTickMark val="none"/>
        <c:tickLblPos val="nextTo"/>
        <c:crossAx val="1918188719"/>
        <c:crosses val="autoZero"/>
        <c:auto val="1"/>
        <c:lblAlgn val="ctr"/>
        <c:lblOffset val="100"/>
        <c:noMultiLvlLbl val="0"/>
      </c:catAx>
      <c:valAx>
        <c:axId val="1918188719"/>
        <c:scaling>
          <c:orientation val="minMax"/>
        </c:scaling>
        <c:delete val="1"/>
        <c:axPos val="l"/>
        <c:numFmt formatCode="0.00" sourceLinked="1"/>
        <c:majorTickMark val="none"/>
        <c:minorTickMark val="none"/>
        <c:tickLblPos val="nextTo"/>
        <c:crossAx val="19181867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emergency^L.xlsx]Pivot Report!PivotTable9</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Report'!$K$2</c:f>
              <c:strCache>
                <c:ptCount val="1"/>
                <c:pt idx="0">
                  <c:v>Total</c:v>
                </c:pt>
              </c:strCache>
            </c:strRef>
          </c:tx>
          <c:spPr>
            <a:solidFill>
              <a:srgbClr val="FFC000"/>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Report'!$J$3:$J$34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Report'!$K$3:$K$34</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5601-4729-8543-6DE593C492B1}"/>
            </c:ext>
          </c:extLst>
        </c:ser>
        <c:dLbls>
          <c:showLegendKey val="0"/>
          <c:showVal val="1"/>
          <c:showCatName val="0"/>
          <c:showSerName val="0"/>
          <c:showPercent val="0"/>
          <c:showBubbleSize val="0"/>
        </c:dLbls>
        <c:axId val="1918186799"/>
        <c:axId val="1918188719"/>
      </c:areaChart>
      <c:catAx>
        <c:axId val="1918186799"/>
        <c:scaling>
          <c:orientation val="minMax"/>
        </c:scaling>
        <c:delete val="1"/>
        <c:axPos val="b"/>
        <c:numFmt formatCode="General" sourceLinked="1"/>
        <c:majorTickMark val="out"/>
        <c:minorTickMark val="none"/>
        <c:tickLblPos val="nextTo"/>
        <c:crossAx val="1918188719"/>
        <c:crosses val="autoZero"/>
        <c:auto val="1"/>
        <c:lblAlgn val="ctr"/>
        <c:lblOffset val="100"/>
        <c:noMultiLvlLbl val="0"/>
      </c:catAx>
      <c:valAx>
        <c:axId val="1918188719"/>
        <c:scaling>
          <c:orientation val="minMax"/>
        </c:scaling>
        <c:delete val="1"/>
        <c:axPos val="l"/>
        <c:numFmt formatCode="0.00" sourceLinked="1"/>
        <c:majorTickMark val="none"/>
        <c:minorTickMark val="none"/>
        <c:tickLblPos val="nextTo"/>
        <c:crossAx val="19181867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emergency^L.xlsx]Pivot Report!PivotTable8</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835603829690054E-2"/>
          <c:y val="0.12535612535612536"/>
          <c:w val="0.83926945262446984"/>
          <c:h val="0.43454875832828588"/>
        </c:manualLayout>
      </c:layout>
      <c:areaChart>
        <c:grouping val="standard"/>
        <c:varyColors val="0"/>
        <c:ser>
          <c:idx val="0"/>
          <c:order val="0"/>
          <c:tx>
            <c:strRef>
              <c:f>'Pivot Report'!$H$2</c:f>
              <c:strCache>
                <c:ptCount val="1"/>
                <c:pt idx="0">
                  <c:v>Total</c:v>
                </c:pt>
              </c:strCache>
            </c:strRef>
          </c:tx>
          <c:spPr>
            <a:solidFill>
              <a:srgbClr val="FF99CC"/>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Report'!$G$3:$G$34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Report'!$H$3:$H$34</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E2D1-4E0F-AE54-EE5EFC8C33CA}"/>
            </c:ext>
          </c:extLst>
        </c:ser>
        <c:dLbls>
          <c:showLegendKey val="0"/>
          <c:showVal val="1"/>
          <c:showCatName val="0"/>
          <c:showSerName val="0"/>
          <c:showPercent val="0"/>
          <c:showBubbleSize val="0"/>
        </c:dLbls>
        <c:axId val="399804432"/>
        <c:axId val="399802992"/>
      </c:areaChart>
      <c:catAx>
        <c:axId val="399804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802992"/>
        <c:crosses val="autoZero"/>
        <c:auto val="1"/>
        <c:lblAlgn val="ctr"/>
        <c:lblOffset val="100"/>
        <c:noMultiLvlLbl val="0"/>
      </c:catAx>
      <c:valAx>
        <c:axId val="399802992"/>
        <c:scaling>
          <c:orientation val="minMax"/>
        </c:scaling>
        <c:delete val="1"/>
        <c:axPos val="l"/>
        <c:numFmt formatCode="0.00" sourceLinked="1"/>
        <c:majorTickMark val="out"/>
        <c:minorTickMark val="none"/>
        <c:tickLblPos val="nextTo"/>
        <c:crossAx val="3998044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emergency^L.xlsx]Pivot Report!PivotTable7</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29097443757441"/>
          <c:y val="0.1694816791853942"/>
          <c:w val="0.85109991014833519"/>
          <c:h val="0.36795026882504384"/>
        </c:manualLayout>
      </c:layout>
      <c:areaChart>
        <c:grouping val="standard"/>
        <c:varyColors val="0"/>
        <c:ser>
          <c:idx val="0"/>
          <c:order val="0"/>
          <c:tx>
            <c:strRef>
              <c:f>'Pivot Report'!$D$2</c:f>
              <c:strCache>
                <c:ptCount val="1"/>
                <c:pt idx="0">
                  <c:v>Total</c:v>
                </c:pt>
              </c:strCache>
            </c:strRef>
          </c:tx>
          <c:spPr>
            <a:solidFill>
              <a:srgbClr val="FF99CC"/>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Report'!$C$3:$C$34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Report'!$D$3:$D$34</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3618-4950-BDE2-D974B3D11B32}"/>
            </c:ext>
          </c:extLst>
        </c:ser>
        <c:dLbls>
          <c:showLegendKey val="0"/>
          <c:showVal val="0"/>
          <c:showCatName val="0"/>
          <c:showSerName val="0"/>
          <c:showPercent val="0"/>
          <c:showBubbleSize val="0"/>
        </c:dLbls>
        <c:axId val="612824127"/>
        <c:axId val="612826527"/>
      </c:areaChart>
      <c:catAx>
        <c:axId val="61282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826527"/>
        <c:crosses val="autoZero"/>
        <c:auto val="1"/>
        <c:lblAlgn val="ctr"/>
        <c:lblOffset val="100"/>
        <c:noMultiLvlLbl val="0"/>
      </c:catAx>
      <c:valAx>
        <c:axId val="612826527"/>
        <c:scaling>
          <c:orientation val="minMax"/>
        </c:scaling>
        <c:delete val="1"/>
        <c:axPos val="l"/>
        <c:numFmt formatCode="General" sourceLinked="1"/>
        <c:majorTickMark val="none"/>
        <c:minorTickMark val="none"/>
        <c:tickLblPos val="nextTo"/>
        <c:crossAx val="6128241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Patients daily wait time'!A1"/><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hyperlink" Target="#'Daily Number of patients'!A1"/><Relationship Id="rId6" Type="http://schemas.openxmlformats.org/officeDocument/2006/relationships/chart" Target="../charts/chart4.xml"/><Relationship Id="rId11" Type="http://schemas.openxmlformats.org/officeDocument/2006/relationships/chart" Target="../charts/chart8.xml"/><Relationship Id="rId5" Type="http://schemas.openxmlformats.org/officeDocument/2006/relationships/image" Target="../media/image1.emf"/><Relationship Id="rId10" Type="http://schemas.openxmlformats.org/officeDocument/2006/relationships/hyperlink" Target="#'Avg Satisfaction score'!A1"/><Relationship Id="rId4" Type="http://schemas.openxmlformats.org/officeDocument/2006/relationships/chart" Target="../charts/chart3.xml"/><Relationship Id="rId9"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3.sv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3.svg"/></Relationships>
</file>

<file path=xl/drawings/_rels/drawing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38099</xdr:colOff>
      <xdr:row>19</xdr:row>
      <xdr:rowOff>128588</xdr:rowOff>
    </xdr:from>
    <xdr:to>
      <xdr:col>0</xdr:col>
      <xdr:colOff>1552574</xdr:colOff>
      <xdr:row>23</xdr:row>
      <xdr:rowOff>66680</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1395FAFC-91F5-A9D2-2CC2-19AC7B70529D}"/>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38099" y="3567113"/>
              <a:ext cx="1514475" cy="6619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23814</xdr:colOff>
      <xdr:row>41</xdr:row>
      <xdr:rowOff>9525</xdr:rowOff>
    </xdr:from>
    <xdr:to>
      <xdr:col>4</xdr:col>
      <xdr:colOff>1247775</xdr:colOff>
      <xdr:row>43</xdr:row>
      <xdr:rowOff>19050</xdr:rowOff>
    </xdr:to>
    <xdr:graphicFrame macro="">
      <xdr:nvGraphicFramePr>
        <xdr:cNvPr id="4" name="Chart 3">
          <a:extLst>
            <a:ext uri="{FF2B5EF4-FFF2-40B4-BE49-F238E27FC236}">
              <a16:creationId xmlns:a16="http://schemas.microsoft.com/office/drawing/2014/main" id="{2C9CC4FE-2C1D-9E8E-AC12-555AC4CA1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104775</xdr:colOff>
      <xdr:row>0</xdr:row>
      <xdr:rowOff>42862</xdr:rowOff>
    </xdr:from>
    <xdr:to>
      <xdr:col>8</xdr:col>
      <xdr:colOff>471488</xdr:colOff>
      <xdr:row>5</xdr:row>
      <xdr:rowOff>47625</xdr:rowOff>
    </xdr:to>
    <xdr:sp macro="" textlink="">
      <xdr:nvSpPr>
        <xdr:cNvPr id="2" name="Rectangle: Rounded Corners 1">
          <a:extLst>
            <a:ext uri="{FF2B5EF4-FFF2-40B4-BE49-F238E27FC236}">
              <a16:creationId xmlns:a16="http://schemas.microsoft.com/office/drawing/2014/main" id="{1E2C26E2-4262-168E-555D-EA3068EECFBE}"/>
            </a:ext>
          </a:extLst>
        </xdr:cNvPr>
        <xdr:cNvSpPr/>
      </xdr:nvSpPr>
      <xdr:spPr>
        <a:xfrm>
          <a:off x="104775" y="42862"/>
          <a:ext cx="5548313" cy="90963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a:p>
      </xdr:txBody>
    </xdr:sp>
    <xdr:clientData/>
  </xdr:twoCellAnchor>
  <xdr:twoCellAnchor>
    <xdr:from>
      <xdr:col>8</xdr:col>
      <xdr:colOff>528638</xdr:colOff>
      <xdr:row>0</xdr:row>
      <xdr:rowOff>52387</xdr:rowOff>
    </xdr:from>
    <xdr:to>
      <xdr:col>11</xdr:col>
      <xdr:colOff>547688</xdr:colOff>
      <xdr:row>5</xdr:row>
      <xdr:rowOff>85725</xdr:rowOff>
    </xdr:to>
    <xdr:sp macro="" textlink="">
      <xdr:nvSpPr>
        <xdr:cNvPr id="3" name="Rectangle: Rounded Corners 2">
          <a:extLst>
            <a:ext uri="{FF2B5EF4-FFF2-40B4-BE49-F238E27FC236}">
              <a16:creationId xmlns:a16="http://schemas.microsoft.com/office/drawing/2014/main" id="{D016906F-6933-D59C-5D8D-1720F3729349}"/>
            </a:ext>
          </a:extLst>
        </xdr:cNvPr>
        <xdr:cNvSpPr/>
      </xdr:nvSpPr>
      <xdr:spPr>
        <a:xfrm>
          <a:off x="5734051" y="52387"/>
          <a:ext cx="1962150" cy="93821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14289</xdr:colOff>
      <xdr:row>0</xdr:row>
      <xdr:rowOff>57149</xdr:rowOff>
    </xdr:from>
    <xdr:to>
      <xdr:col>15</xdr:col>
      <xdr:colOff>33339</xdr:colOff>
      <xdr:row>12</xdr:row>
      <xdr:rowOff>119062</xdr:rowOff>
    </xdr:to>
    <xdr:sp macro="" textlink="">
      <xdr:nvSpPr>
        <xdr:cNvPr id="4" name="Rectangle: Rounded Corners 3">
          <a:extLst>
            <a:ext uri="{FF2B5EF4-FFF2-40B4-BE49-F238E27FC236}">
              <a16:creationId xmlns:a16="http://schemas.microsoft.com/office/drawing/2014/main" id="{7C033B42-BC30-4EF8-C33B-2467C63AAF56}"/>
            </a:ext>
          </a:extLst>
        </xdr:cNvPr>
        <xdr:cNvSpPr/>
      </xdr:nvSpPr>
      <xdr:spPr>
        <a:xfrm>
          <a:off x="7786689" y="57149"/>
          <a:ext cx="1962150" cy="223361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80964</xdr:colOff>
      <xdr:row>0</xdr:row>
      <xdr:rowOff>80962</xdr:rowOff>
    </xdr:from>
    <xdr:to>
      <xdr:col>18</xdr:col>
      <xdr:colOff>100014</xdr:colOff>
      <xdr:row>12</xdr:row>
      <xdr:rowOff>109538</xdr:rowOff>
    </xdr:to>
    <xdr:sp macro="" textlink="">
      <xdr:nvSpPr>
        <xdr:cNvPr id="5" name="Rectangle: Rounded Corners 4">
          <a:extLst>
            <a:ext uri="{FF2B5EF4-FFF2-40B4-BE49-F238E27FC236}">
              <a16:creationId xmlns:a16="http://schemas.microsoft.com/office/drawing/2014/main" id="{E9F76980-1133-4B71-B095-7E0AF1FB6D9A}"/>
            </a:ext>
          </a:extLst>
        </xdr:cNvPr>
        <xdr:cNvSpPr/>
      </xdr:nvSpPr>
      <xdr:spPr>
        <a:xfrm>
          <a:off x="9820277" y="80962"/>
          <a:ext cx="1962150" cy="22002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80963</xdr:colOff>
      <xdr:row>5</xdr:row>
      <xdr:rowOff>76200</xdr:rowOff>
    </xdr:from>
    <xdr:to>
      <xdr:col>2</xdr:col>
      <xdr:colOff>385763</xdr:colOff>
      <xdr:row>26</xdr:row>
      <xdr:rowOff>104775</xdr:rowOff>
    </xdr:to>
    <xdr:sp macro="" textlink="">
      <xdr:nvSpPr>
        <xdr:cNvPr id="6" name="Rectangle: Rounded Corners 5">
          <a:extLst>
            <a:ext uri="{FF2B5EF4-FFF2-40B4-BE49-F238E27FC236}">
              <a16:creationId xmlns:a16="http://schemas.microsoft.com/office/drawing/2014/main" id="{F3FEC588-C313-409F-B857-4EA2A15F5D80}"/>
            </a:ext>
          </a:extLst>
        </xdr:cNvPr>
        <xdr:cNvSpPr/>
      </xdr:nvSpPr>
      <xdr:spPr>
        <a:xfrm>
          <a:off x="80963" y="981075"/>
          <a:ext cx="1600200" cy="3829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447675</xdr:colOff>
      <xdr:row>5</xdr:row>
      <xdr:rowOff>157163</xdr:rowOff>
    </xdr:from>
    <xdr:to>
      <xdr:col>11</xdr:col>
      <xdr:colOff>509588</xdr:colOff>
      <xdr:row>13</xdr:row>
      <xdr:rowOff>28574</xdr:rowOff>
    </xdr:to>
    <xdr:grpSp>
      <xdr:nvGrpSpPr>
        <xdr:cNvPr id="13" name="Group 12">
          <a:extLst>
            <a:ext uri="{FF2B5EF4-FFF2-40B4-BE49-F238E27FC236}">
              <a16:creationId xmlns:a16="http://schemas.microsoft.com/office/drawing/2014/main" id="{91460890-AA5B-6BAB-09E4-1E12B3FEA7C4}"/>
            </a:ext>
          </a:extLst>
        </xdr:cNvPr>
        <xdr:cNvGrpSpPr/>
      </xdr:nvGrpSpPr>
      <xdr:grpSpPr>
        <a:xfrm>
          <a:off x="1743075" y="1062038"/>
          <a:ext cx="5915026" cy="1319211"/>
          <a:chOff x="1762125" y="1009651"/>
          <a:chExt cx="5053012" cy="1319211"/>
        </a:xfrm>
      </xdr:grpSpPr>
      <xdr:sp macro="" textlink="">
        <xdr:nvSpPr>
          <xdr:cNvPr id="7" name="Rectangle: Rounded Corners 6">
            <a:extLst>
              <a:ext uri="{FF2B5EF4-FFF2-40B4-BE49-F238E27FC236}">
                <a16:creationId xmlns:a16="http://schemas.microsoft.com/office/drawing/2014/main" id="{F87FF61B-EC62-4B5B-9B8B-E1F8EAB8377E}"/>
              </a:ext>
            </a:extLst>
          </xdr:cNvPr>
          <xdr:cNvSpPr/>
        </xdr:nvSpPr>
        <xdr:spPr>
          <a:xfrm>
            <a:off x="1762125" y="1009651"/>
            <a:ext cx="1624013" cy="129063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B979F4A4-54DE-459E-82E2-BF69DB744DE9}"/>
              </a:ext>
            </a:extLst>
          </xdr:cNvPr>
          <xdr:cNvSpPr/>
        </xdr:nvSpPr>
        <xdr:spPr>
          <a:xfrm>
            <a:off x="3471862" y="1019175"/>
            <a:ext cx="1624013" cy="129063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D9F7D52A-FB48-4C80-BC39-550DCCC0F756}"/>
              </a:ext>
            </a:extLst>
          </xdr:cNvPr>
          <xdr:cNvSpPr/>
        </xdr:nvSpPr>
        <xdr:spPr>
          <a:xfrm>
            <a:off x="5191124" y="1038224"/>
            <a:ext cx="1624013" cy="129063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xdr:col>
      <xdr:colOff>423863</xdr:colOff>
      <xdr:row>13</xdr:row>
      <xdr:rowOff>38100</xdr:rowOff>
    </xdr:from>
    <xdr:to>
      <xdr:col>11</xdr:col>
      <xdr:colOff>476251</xdr:colOff>
      <xdr:row>18</xdr:row>
      <xdr:rowOff>42863</xdr:rowOff>
    </xdr:to>
    <xdr:sp macro="" textlink="">
      <xdr:nvSpPr>
        <xdr:cNvPr id="14" name="Rectangle: Rounded Corners 13">
          <a:extLst>
            <a:ext uri="{FF2B5EF4-FFF2-40B4-BE49-F238E27FC236}">
              <a16:creationId xmlns:a16="http://schemas.microsoft.com/office/drawing/2014/main" id="{62BFAD0D-41B9-4BD2-AAAB-BEE3618686D0}"/>
            </a:ext>
          </a:extLst>
        </xdr:cNvPr>
        <xdr:cNvSpPr/>
      </xdr:nvSpPr>
      <xdr:spPr>
        <a:xfrm>
          <a:off x="1719263" y="2390775"/>
          <a:ext cx="5881688" cy="90963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461962</xdr:colOff>
      <xdr:row>18</xdr:row>
      <xdr:rowOff>90486</xdr:rowOff>
    </xdr:from>
    <xdr:to>
      <xdr:col>11</xdr:col>
      <xdr:colOff>490538</xdr:colOff>
      <xdr:row>26</xdr:row>
      <xdr:rowOff>133349</xdr:rowOff>
    </xdr:to>
    <xdr:sp macro="" textlink="">
      <xdr:nvSpPr>
        <xdr:cNvPr id="15" name="Rectangle: Rounded Corners 14">
          <a:extLst>
            <a:ext uri="{FF2B5EF4-FFF2-40B4-BE49-F238E27FC236}">
              <a16:creationId xmlns:a16="http://schemas.microsoft.com/office/drawing/2014/main" id="{34BB457E-D319-4041-9336-5FD60FDAE16A}"/>
            </a:ext>
          </a:extLst>
        </xdr:cNvPr>
        <xdr:cNvSpPr/>
      </xdr:nvSpPr>
      <xdr:spPr>
        <a:xfrm>
          <a:off x="1757362" y="3348036"/>
          <a:ext cx="5857876" cy="14906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576263</xdr:colOff>
      <xdr:row>0</xdr:row>
      <xdr:rowOff>61913</xdr:rowOff>
    </xdr:from>
    <xdr:to>
      <xdr:col>11</xdr:col>
      <xdr:colOff>600075</xdr:colOff>
      <xdr:row>26</xdr:row>
      <xdr:rowOff>128588</xdr:rowOff>
    </xdr:to>
    <xdr:cxnSp macro="">
      <xdr:nvCxnSpPr>
        <xdr:cNvPr id="17" name="Straight Connector 16">
          <a:extLst>
            <a:ext uri="{FF2B5EF4-FFF2-40B4-BE49-F238E27FC236}">
              <a16:creationId xmlns:a16="http://schemas.microsoft.com/office/drawing/2014/main" id="{55CCBC8A-0E46-6939-9D18-89C5996F3839}"/>
            </a:ext>
          </a:extLst>
        </xdr:cNvPr>
        <xdr:cNvCxnSpPr/>
      </xdr:nvCxnSpPr>
      <xdr:spPr>
        <a:xfrm flipH="1">
          <a:off x="7700963" y="61913"/>
          <a:ext cx="23812" cy="4772025"/>
        </a:xfrm>
        <a:prstGeom prst="line">
          <a:avLst/>
        </a:prstGeom>
        <a:ln>
          <a:no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4762</xdr:colOff>
      <xdr:row>12</xdr:row>
      <xdr:rowOff>142875</xdr:rowOff>
    </xdr:from>
    <xdr:to>
      <xdr:col>18</xdr:col>
      <xdr:colOff>123825</xdr:colOff>
      <xdr:row>26</xdr:row>
      <xdr:rowOff>123825</xdr:rowOff>
    </xdr:to>
    <xdr:sp macro="" textlink="">
      <xdr:nvSpPr>
        <xdr:cNvPr id="19" name="Rectangle: Rounded Corners 18">
          <a:extLst>
            <a:ext uri="{FF2B5EF4-FFF2-40B4-BE49-F238E27FC236}">
              <a16:creationId xmlns:a16="http://schemas.microsoft.com/office/drawing/2014/main" id="{71AFB91E-F9DC-463F-88A1-0E67D27207FD}"/>
            </a:ext>
          </a:extLst>
        </xdr:cNvPr>
        <xdr:cNvSpPr/>
      </xdr:nvSpPr>
      <xdr:spPr>
        <a:xfrm>
          <a:off x="7777162" y="2314575"/>
          <a:ext cx="4005263" cy="2514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147638</xdr:colOff>
      <xdr:row>0</xdr:row>
      <xdr:rowOff>23813</xdr:rowOff>
    </xdr:from>
    <xdr:to>
      <xdr:col>18</xdr:col>
      <xdr:colOff>185738</xdr:colOff>
      <xdr:row>27</xdr:row>
      <xdr:rowOff>47625</xdr:rowOff>
    </xdr:to>
    <xdr:cxnSp macro="">
      <xdr:nvCxnSpPr>
        <xdr:cNvPr id="21" name="Straight Connector 20">
          <a:extLst>
            <a:ext uri="{FF2B5EF4-FFF2-40B4-BE49-F238E27FC236}">
              <a16:creationId xmlns:a16="http://schemas.microsoft.com/office/drawing/2014/main" id="{1A486821-20F6-6070-2D29-CD9283309E49}"/>
            </a:ext>
          </a:extLst>
        </xdr:cNvPr>
        <xdr:cNvCxnSpPr/>
      </xdr:nvCxnSpPr>
      <xdr:spPr>
        <a:xfrm flipH="1">
          <a:off x="11806238" y="23813"/>
          <a:ext cx="38100" cy="4910137"/>
        </a:xfrm>
        <a:prstGeom prst="line">
          <a:avLst/>
        </a:prstGeom>
        <a:ln>
          <a:no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214313</xdr:colOff>
      <xdr:row>1</xdr:row>
      <xdr:rowOff>76200</xdr:rowOff>
    </xdr:from>
    <xdr:to>
      <xdr:col>7</xdr:col>
      <xdr:colOff>585788</xdr:colOff>
      <xdr:row>3</xdr:row>
      <xdr:rowOff>166687</xdr:rowOff>
    </xdr:to>
    <xdr:sp macro="" textlink="">
      <xdr:nvSpPr>
        <xdr:cNvPr id="22" name="TextBox 21">
          <a:extLst>
            <a:ext uri="{FF2B5EF4-FFF2-40B4-BE49-F238E27FC236}">
              <a16:creationId xmlns:a16="http://schemas.microsoft.com/office/drawing/2014/main" id="{1B2911B0-3D80-7B1A-A360-61E335ECF845}"/>
            </a:ext>
          </a:extLst>
        </xdr:cNvPr>
        <xdr:cNvSpPr txBox="1"/>
      </xdr:nvSpPr>
      <xdr:spPr>
        <a:xfrm>
          <a:off x="214313" y="257175"/>
          <a:ext cx="4905375" cy="452437"/>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1">
              <a:solidFill>
                <a:srgbClr val="FF99CC"/>
              </a:solidFill>
            </a:rPr>
            <a:t>Hospital</a:t>
          </a:r>
          <a:r>
            <a:rPr lang="en-IN" sz="2000" b="1" baseline="0">
              <a:solidFill>
                <a:srgbClr val="FF99CC"/>
              </a:solidFill>
            </a:rPr>
            <a:t> Emergency Room Dashboard</a:t>
          </a:r>
          <a:endParaRPr lang="en-IN" sz="2000" b="1">
            <a:solidFill>
              <a:srgbClr val="FF99CC"/>
            </a:solidFill>
          </a:endParaRPr>
        </a:p>
      </xdr:txBody>
    </xdr:sp>
    <xdr:clientData/>
  </xdr:twoCellAnchor>
  <xdr:twoCellAnchor editAs="oneCell">
    <xdr:from>
      <xdr:col>0</xdr:col>
      <xdr:colOff>171450</xdr:colOff>
      <xdr:row>6</xdr:row>
      <xdr:rowOff>0</xdr:rowOff>
    </xdr:from>
    <xdr:to>
      <xdr:col>2</xdr:col>
      <xdr:colOff>285750</xdr:colOff>
      <xdr:row>25</xdr:row>
      <xdr:rowOff>171449</xdr:rowOff>
    </xdr:to>
    <mc:AlternateContent xmlns:mc="http://schemas.openxmlformats.org/markup-compatibility/2006" xmlns:a14="http://schemas.microsoft.com/office/drawing/2010/main">
      <mc:Choice Requires="a14">
        <xdr:graphicFrame macro="">
          <xdr:nvGraphicFramePr>
            <xdr:cNvPr id="30" name="Date (Month) 1">
              <a:extLst>
                <a:ext uri="{FF2B5EF4-FFF2-40B4-BE49-F238E27FC236}">
                  <a16:creationId xmlns:a16="http://schemas.microsoft.com/office/drawing/2014/main" id="{9DC1340E-300F-437D-B449-3BA0A6F33BF4}"/>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71450" y="1085850"/>
              <a:ext cx="1409700" cy="3609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557212</xdr:colOff>
      <xdr:row>10</xdr:row>
      <xdr:rowOff>152400</xdr:rowOff>
    </xdr:from>
    <xdr:to>
      <xdr:col>5</xdr:col>
      <xdr:colOff>376238</xdr:colOff>
      <xdr:row>13</xdr:row>
      <xdr:rowOff>52388</xdr:rowOff>
    </xdr:to>
    <xdr:graphicFrame macro="">
      <xdr:nvGraphicFramePr>
        <xdr:cNvPr id="32" name="Chart 31">
          <a:hlinkClick xmlns:r="http://schemas.openxmlformats.org/officeDocument/2006/relationships" r:id="rId1"/>
          <a:extLst>
            <a:ext uri="{FF2B5EF4-FFF2-40B4-BE49-F238E27FC236}">
              <a16:creationId xmlns:a16="http://schemas.microsoft.com/office/drawing/2014/main" id="{232FB78A-6FCD-404B-9B97-5273A0D60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571500</xdr:colOff>
      <xdr:row>8</xdr:row>
      <xdr:rowOff>159067</xdr:rowOff>
    </xdr:from>
    <xdr:to>
      <xdr:col>5</xdr:col>
      <xdr:colOff>280987</xdr:colOff>
      <xdr:row>10</xdr:row>
      <xdr:rowOff>109538</xdr:rowOff>
    </xdr:to>
    <xdr:sp macro="" textlink="">
      <xdr:nvSpPr>
        <xdr:cNvPr id="9" name="TextBox 8">
          <a:hlinkClick xmlns:r="http://schemas.openxmlformats.org/officeDocument/2006/relationships" r:id="rId1"/>
          <a:extLst>
            <a:ext uri="{FF2B5EF4-FFF2-40B4-BE49-F238E27FC236}">
              <a16:creationId xmlns:a16="http://schemas.microsoft.com/office/drawing/2014/main" id="{84CC193B-C3B5-4BCB-90A2-F7B1B4BD897D}"/>
            </a:ext>
          </a:extLst>
        </xdr:cNvPr>
        <xdr:cNvSpPr txBox="1"/>
      </xdr:nvSpPr>
      <xdr:spPr>
        <a:xfrm>
          <a:off x="1866900" y="1606867"/>
          <a:ext cx="1676400" cy="312421"/>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a:solidFill>
                <a:srgbClr val="FF99CC"/>
              </a:solidFill>
            </a:rPr>
            <a:t>No Of Patients</a:t>
          </a:r>
        </a:p>
      </xdr:txBody>
    </xdr:sp>
    <xdr:clientData/>
  </xdr:twoCellAnchor>
  <xdr:twoCellAnchor>
    <xdr:from>
      <xdr:col>2</xdr:col>
      <xdr:colOff>581025</xdr:colOff>
      <xdr:row>7</xdr:row>
      <xdr:rowOff>90488</xdr:rowOff>
    </xdr:from>
    <xdr:to>
      <xdr:col>5</xdr:col>
      <xdr:colOff>290512</xdr:colOff>
      <xdr:row>8</xdr:row>
      <xdr:rowOff>93347</xdr:rowOff>
    </xdr:to>
    <xdr:sp macro="" textlink="'Pivot Report'!A3">
      <xdr:nvSpPr>
        <xdr:cNvPr id="11" name="TextBox 10">
          <a:extLst>
            <a:ext uri="{FF2B5EF4-FFF2-40B4-BE49-F238E27FC236}">
              <a16:creationId xmlns:a16="http://schemas.microsoft.com/office/drawing/2014/main" id="{E67B37B8-A16C-4CC4-AB0B-A1F4C1B71FB4}"/>
            </a:ext>
          </a:extLst>
        </xdr:cNvPr>
        <xdr:cNvSpPr txBox="1"/>
      </xdr:nvSpPr>
      <xdr:spPr>
        <a:xfrm>
          <a:off x="1876425" y="1357313"/>
          <a:ext cx="1676400" cy="183834"/>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75F67FB-22B8-46D9-A888-C28771E7129A}" type="TxLink">
            <a:rPr lang="en-US" sz="1100" b="0" i="0" u="none" strike="noStrike">
              <a:solidFill>
                <a:srgbClr val="000000"/>
              </a:solidFill>
              <a:latin typeface="Aptos Narrow"/>
            </a:rPr>
            <a:pPr algn="ctr"/>
            <a:t>513</a:t>
          </a:fld>
          <a:endParaRPr lang="en-US"/>
        </a:p>
      </xdr:txBody>
    </xdr:sp>
    <xdr:clientData/>
  </xdr:twoCellAnchor>
  <xdr:twoCellAnchor>
    <xdr:from>
      <xdr:col>5</xdr:col>
      <xdr:colOff>576262</xdr:colOff>
      <xdr:row>7</xdr:row>
      <xdr:rowOff>28576</xdr:rowOff>
    </xdr:from>
    <xdr:to>
      <xdr:col>8</xdr:col>
      <xdr:colOff>309562</xdr:colOff>
      <xdr:row>8</xdr:row>
      <xdr:rowOff>160022</xdr:rowOff>
    </xdr:to>
    <xdr:sp macro="" textlink="'Pivot Report'!A7">
      <xdr:nvSpPr>
        <xdr:cNvPr id="12" name="TextBox 11">
          <a:extLst>
            <a:ext uri="{FF2B5EF4-FFF2-40B4-BE49-F238E27FC236}">
              <a16:creationId xmlns:a16="http://schemas.microsoft.com/office/drawing/2014/main" id="{20F0FC0E-37B2-44CB-B67A-E595AA560577}"/>
            </a:ext>
          </a:extLst>
        </xdr:cNvPr>
        <xdr:cNvSpPr txBox="1"/>
      </xdr:nvSpPr>
      <xdr:spPr>
        <a:xfrm>
          <a:off x="3838575" y="1295401"/>
          <a:ext cx="1676400" cy="312421"/>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1A280936-7366-405D-A923-096CD9FD54F9}" type="TxLink">
            <a:rPr lang="en-US" sz="1100" b="0" i="0" u="none" strike="noStrike">
              <a:solidFill>
                <a:srgbClr val="000000"/>
              </a:solidFill>
              <a:latin typeface="Aptos Narrow"/>
            </a:rPr>
            <a:pPr algn="ctr"/>
            <a:t>36.32</a:t>
          </a:fld>
          <a:endParaRPr lang="en-US"/>
        </a:p>
      </xdr:txBody>
    </xdr:sp>
    <xdr:clientData/>
  </xdr:twoCellAnchor>
  <xdr:twoCellAnchor>
    <xdr:from>
      <xdr:col>9</xdr:col>
      <xdr:colOff>42862</xdr:colOff>
      <xdr:row>7</xdr:row>
      <xdr:rowOff>109538</xdr:rowOff>
    </xdr:from>
    <xdr:to>
      <xdr:col>11</xdr:col>
      <xdr:colOff>423862</xdr:colOff>
      <xdr:row>8</xdr:row>
      <xdr:rowOff>150497</xdr:rowOff>
    </xdr:to>
    <xdr:sp macro="" textlink="'Pivot Report'!A11">
      <xdr:nvSpPr>
        <xdr:cNvPr id="16" name="TextBox 15">
          <a:extLst>
            <a:ext uri="{FF2B5EF4-FFF2-40B4-BE49-F238E27FC236}">
              <a16:creationId xmlns:a16="http://schemas.microsoft.com/office/drawing/2014/main" id="{A09C2E03-5495-434B-9709-B62410B5657B}"/>
            </a:ext>
          </a:extLst>
        </xdr:cNvPr>
        <xdr:cNvSpPr txBox="1"/>
      </xdr:nvSpPr>
      <xdr:spPr>
        <a:xfrm>
          <a:off x="5895975" y="1376363"/>
          <a:ext cx="1676400" cy="221934"/>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245D982-473F-4B9F-A4F2-C9B768303FE4}" type="TxLink">
            <a:rPr lang="en-US" sz="1100" b="0" i="0" u="none" strike="noStrike">
              <a:solidFill>
                <a:srgbClr val="000000"/>
              </a:solidFill>
              <a:latin typeface="Aptos Narrow"/>
            </a:rPr>
            <a:pPr algn="ctr"/>
            <a:t>4.96</a:t>
          </a:fld>
          <a:endParaRPr lang="en-US"/>
        </a:p>
      </xdr:txBody>
    </xdr:sp>
    <xdr:clientData/>
  </xdr:twoCellAnchor>
  <xdr:twoCellAnchor>
    <xdr:from>
      <xdr:col>5</xdr:col>
      <xdr:colOff>571500</xdr:colOff>
      <xdr:row>8</xdr:row>
      <xdr:rowOff>147637</xdr:rowOff>
    </xdr:from>
    <xdr:to>
      <xdr:col>8</xdr:col>
      <xdr:colOff>304800</xdr:colOff>
      <xdr:row>10</xdr:row>
      <xdr:rowOff>98108</xdr:rowOff>
    </xdr:to>
    <xdr:sp macro="" textlink="">
      <xdr:nvSpPr>
        <xdr:cNvPr id="18" name="TextBox 17">
          <a:extLst>
            <a:ext uri="{FF2B5EF4-FFF2-40B4-BE49-F238E27FC236}">
              <a16:creationId xmlns:a16="http://schemas.microsoft.com/office/drawing/2014/main" id="{24250AF2-9BB6-4E00-97A1-1B750AD95C75}"/>
            </a:ext>
          </a:extLst>
        </xdr:cNvPr>
        <xdr:cNvSpPr txBox="1"/>
      </xdr:nvSpPr>
      <xdr:spPr>
        <a:xfrm>
          <a:off x="3833813" y="1595437"/>
          <a:ext cx="1676400" cy="312421"/>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a:solidFill>
                <a:srgbClr val="FF99CC"/>
              </a:solidFill>
              <a:effectLst/>
              <a:latin typeface="+mn-lt"/>
              <a:ea typeface="+mn-ea"/>
              <a:cs typeface="+mn-cs"/>
            </a:rPr>
            <a:t>Avg Wait Time </a:t>
          </a:r>
          <a:endParaRPr lang="en-IN" sz="1400">
            <a:solidFill>
              <a:srgbClr val="FF99CC"/>
            </a:solidFill>
            <a:effectLst/>
          </a:endParaRPr>
        </a:p>
      </xdr:txBody>
    </xdr:sp>
    <xdr:clientData/>
  </xdr:twoCellAnchor>
  <xdr:twoCellAnchor>
    <xdr:from>
      <xdr:col>9</xdr:col>
      <xdr:colOff>138112</xdr:colOff>
      <xdr:row>9</xdr:row>
      <xdr:rowOff>9525</xdr:rowOff>
    </xdr:from>
    <xdr:to>
      <xdr:col>11</xdr:col>
      <xdr:colOff>519112</xdr:colOff>
      <xdr:row>10</xdr:row>
      <xdr:rowOff>140971</xdr:rowOff>
    </xdr:to>
    <xdr:sp macro="" textlink="">
      <xdr:nvSpPr>
        <xdr:cNvPr id="25" name="TextBox 24">
          <a:extLst>
            <a:ext uri="{FF2B5EF4-FFF2-40B4-BE49-F238E27FC236}">
              <a16:creationId xmlns:a16="http://schemas.microsoft.com/office/drawing/2014/main" id="{226EB8D3-517D-431A-BC04-5FAAEEF604FF}"/>
            </a:ext>
          </a:extLst>
        </xdr:cNvPr>
        <xdr:cNvSpPr txBox="1"/>
      </xdr:nvSpPr>
      <xdr:spPr>
        <a:xfrm>
          <a:off x="5991225" y="1638300"/>
          <a:ext cx="1676400" cy="312421"/>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a:solidFill>
                <a:srgbClr val="FF99CC"/>
              </a:solidFill>
              <a:effectLst/>
              <a:latin typeface="+mn-lt"/>
              <a:ea typeface="+mn-ea"/>
              <a:cs typeface="+mn-cs"/>
            </a:rPr>
            <a:t>Avg satisfaction Score </a:t>
          </a:r>
          <a:endParaRPr lang="en-IN" sz="1400">
            <a:solidFill>
              <a:srgbClr val="FF99CC"/>
            </a:solidFill>
            <a:effectLst/>
          </a:endParaRPr>
        </a:p>
      </xdr:txBody>
    </xdr:sp>
    <xdr:clientData/>
  </xdr:twoCellAnchor>
  <xdr:twoCellAnchor>
    <xdr:from>
      <xdr:col>5</xdr:col>
      <xdr:colOff>609599</xdr:colOff>
      <xdr:row>10</xdr:row>
      <xdr:rowOff>42864</xdr:rowOff>
    </xdr:from>
    <xdr:to>
      <xdr:col>8</xdr:col>
      <xdr:colOff>538162</xdr:colOff>
      <xdr:row>13</xdr:row>
      <xdr:rowOff>133351</xdr:rowOff>
    </xdr:to>
    <xdr:graphicFrame macro="">
      <xdr:nvGraphicFramePr>
        <xdr:cNvPr id="34" name="Chart 33">
          <a:hlinkClick xmlns:r="http://schemas.openxmlformats.org/officeDocument/2006/relationships" r:id="rId3"/>
          <a:extLst>
            <a:ext uri="{FF2B5EF4-FFF2-40B4-BE49-F238E27FC236}">
              <a16:creationId xmlns:a16="http://schemas.microsoft.com/office/drawing/2014/main" id="{6D2358C5-758E-44E9-9700-FB8FEF03E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557213</xdr:colOff>
      <xdr:row>13</xdr:row>
      <xdr:rowOff>80963</xdr:rowOff>
    </xdr:from>
    <xdr:to>
      <xdr:col>11</xdr:col>
      <xdr:colOff>347662</xdr:colOff>
      <xdr:row>17</xdr:row>
      <xdr:rowOff>171450</xdr:rowOff>
    </xdr:to>
    <xdr:pic>
      <xdr:nvPicPr>
        <xdr:cNvPr id="24" name="Picture 23">
          <a:extLst>
            <a:ext uri="{FF2B5EF4-FFF2-40B4-BE49-F238E27FC236}">
              <a16:creationId xmlns:a16="http://schemas.microsoft.com/office/drawing/2014/main" id="{2EA8639E-B44F-FFE9-4BF6-302F4449E28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52613" y="2433638"/>
          <a:ext cx="5643562" cy="814387"/>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600075</xdr:colOff>
      <xdr:row>18</xdr:row>
      <xdr:rowOff>66676</xdr:rowOff>
    </xdr:from>
    <xdr:to>
      <xdr:col>11</xdr:col>
      <xdr:colOff>328611</xdr:colOff>
      <xdr:row>26</xdr:row>
      <xdr:rowOff>80964</xdr:rowOff>
    </xdr:to>
    <xdr:graphicFrame macro="">
      <xdr:nvGraphicFramePr>
        <xdr:cNvPr id="27" name="Chart 26">
          <a:extLst>
            <a:ext uri="{FF2B5EF4-FFF2-40B4-BE49-F238E27FC236}">
              <a16:creationId xmlns:a16="http://schemas.microsoft.com/office/drawing/2014/main" id="{91A11A8D-2F93-4BFE-A645-117512F554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200025</xdr:colOff>
      <xdr:row>1</xdr:row>
      <xdr:rowOff>33338</xdr:rowOff>
    </xdr:from>
    <xdr:to>
      <xdr:col>15</xdr:col>
      <xdr:colOff>357189</xdr:colOff>
      <xdr:row>11</xdr:row>
      <xdr:rowOff>147637</xdr:rowOff>
    </xdr:to>
    <xdr:graphicFrame macro="">
      <xdr:nvGraphicFramePr>
        <xdr:cNvPr id="28" name="Chart 27">
          <a:extLst>
            <a:ext uri="{FF2B5EF4-FFF2-40B4-BE49-F238E27FC236}">
              <a16:creationId xmlns:a16="http://schemas.microsoft.com/office/drawing/2014/main" id="{677B21A0-926E-4743-B35E-8FAD4856A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290512</xdr:colOff>
      <xdr:row>0</xdr:row>
      <xdr:rowOff>90488</xdr:rowOff>
    </xdr:from>
    <xdr:to>
      <xdr:col>19</xdr:col>
      <xdr:colOff>223838</xdr:colOff>
      <xdr:row>11</xdr:row>
      <xdr:rowOff>157162</xdr:rowOff>
    </xdr:to>
    <xdr:graphicFrame macro="">
      <xdr:nvGraphicFramePr>
        <xdr:cNvPr id="29" name="Chart 28">
          <a:extLst>
            <a:ext uri="{FF2B5EF4-FFF2-40B4-BE49-F238E27FC236}">
              <a16:creationId xmlns:a16="http://schemas.microsoft.com/office/drawing/2014/main" id="{806BFC4C-1EC4-49A0-8FA3-B4E5CBE1C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4762</xdr:colOff>
      <xdr:row>25</xdr:row>
      <xdr:rowOff>42861</xdr:rowOff>
    </xdr:from>
    <xdr:to>
      <xdr:col>7</xdr:col>
      <xdr:colOff>514349</xdr:colOff>
      <xdr:row>26</xdr:row>
      <xdr:rowOff>174307</xdr:rowOff>
    </xdr:to>
    <xdr:sp macro="" textlink="">
      <xdr:nvSpPr>
        <xdr:cNvPr id="31" name="TextBox 30">
          <a:extLst>
            <a:ext uri="{FF2B5EF4-FFF2-40B4-BE49-F238E27FC236}">
              <a16:creationId xmlns:a16="http://schemas.microsoft.com/office/drawing/2014/main" id="{DB62E602-056E-4E99-BE8B-A7B173726D01}"/>
            </a:ext>
          </a:extLst>
        </xdr:cNvPr>
        <xdr:cNvSpPr txBox="1"/>
      </xdr:nvSpPr>
      <xdr:spPr>
        <a:xfrm>
          <a:off x="2619375" y="4567236"/>
          <a:ext cx="2452687" cy="312421"/>
        </a:xfrm>
        <a:prstGeom prst="rect">
          <a:avLst/>
        </a:prstGeom>
        <a:no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solidFill>
                <a:srgbClr val="FF99CC"/>
              </a:solidFill>
              <a:effectLst/>
              <a:latin typeface="+mn-lt"/>
              <a:ea typeface="+mn-ea"/>
              <a:cs typeface="+mn-cs"/>
            </a:rPr>
            <a:t>No.</a:t>
          </a:r>
          <a:r>
            <a:rPr lang="en-IN" sz="1200" b="1" baseline="0">
              <a:solidFill>
                <a:srgbClr val="FF99CC"/>
              </a:solidFill>
              <a:effectLst/>
              <a:latin typeface="+mn-lt"/>
              <a:ea typeface="+mn-ea"/>
              <a:cs typeface="+mn-cs"/>
            </a:rPr>
            <a:t> Of patients by Age Group</a:t>
          </a:r>
          <a:endParaRPr lang="en-IN" sz="1200">
            <a:solidFill>
              <a:srgbClr val="FF99CC"/>
            </a:solidFill>
            <a:effectLst/>
          </a:endParaRPr>
        </a:p>
      </xdr:txBody>
    </xdr:sp>
    <xdr:clientData/>
  </xdr:twoCellAnchor>
  <xdr:twoCellAnchor>
    <xdr:from>
      <xdr:col>12</xdr:col>
      <xdr:colOff>285750</xdr:colOff>
      <xdr:row>13</xdr:row>
      <xdr:rowOff>76200</xdr:rowOff>
    </xdr:from>
    <xdr:to>
      <xdr:col>17</xdr:col>
      <xdr:colOff>523875</xdr:colOff>
      <xdr:row>26</xdr:row>
      <xdr:rowOff>42863</xdr:rowOff>
    </xdr:to>
    <xdr:graphicFrame macro="">
      <xdr:nvGraphicFramePr>
        <xdr:cNvPr id="35" name="Chart 34">
          <a:extLst>
            <a:ext uri="{FF2B5EF4-FFF2-40B4-BE49-F238E27FC236}">
              <a16:creationId xmlns:a16="http://schemas.microsoft.com/office/drawing/2014/main" id="{2BE13D14-2FDF-4288-8E5C-E9274C3B3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576262</xdr:colOff>
      <xdr:row>0</xdr:row>
      <xdr:rowOff>166689</xdr:rowOff>
    </xdr:from>
    <xdr:to>
      <xdr:col>11</xdr:col>
      <xdr:colOff>476250</xdr:colOff>
      <xdr:row>5</xdr:row>
      <xdr:rowOff>11512</xdr:rowOff>
    </xdr:to>
    <mc:AlternateContent xmlns:mc="http://schemas.openxmlformats.org/markup-compatibility/2006" xmlns:a14="http://schemas.microsoft.com/office/drawing/2010/main">
      <mc:Choice Requires="a14">
        <xdr:graphicFrame macro="">
          <xdr:nvGraphicFramePr>
            <xdr:cNvPr id="36" name="Date (Year)">
              <a:extLst>
                <a:ext uri="{FF2B5EF4-FFF2-40B4-BE49-F238E27FC236}">
                  <a16:creationId xmlns:a16="http://schemas.microsoft.com/office/drawing/2014/main" id="{957130D0-5725-44E6-BC96-09F7741EC6F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781675" y="166689"/>
              <a:ext cx="1843088" cy="749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514350</xdr:colOff>
      <xdr:row>9</xdr:row>
      <xdr:rowOff>14288</xdr:rowOff>
    </xdr:from>
    <xdr:to>
      <xdr:col>11</xdr:col>
      <xdr:colOff>428626</xdr:colOff>
      <xdr:row>12</xdr:row>
      <xdr:rowOff>166688</xdr:rowOff>
    </xdr:to>
    <xdr:graphicFrame macro="">
      <xdr:nvGraphicFramePr>
        <xdr:cNvPr id="38" name="Chart 37">
          <a:hlinkClick xmlns:r="http://schemas.openxmlformats.org/officeDocument/2006/relationships" r:id="rId10"/>
          <a:extLst>
            <a:ext uri="{FF2B5EF4-FFF2-40B4-BE49-F238E27FC236}">
              <a16:creationId xmlns:a16="http://schemas.microsoft.com/office/drawing/2014/main" id="{9AAC7A65-A39B-41FE-8946-AB7B474EA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cdr:x>
      <cdr:y>0.83762</cdr:y>
    </cdr:from>
    <cdr:to>
      <cdr:x>0.79819</cdr:x>
      <cdr:y>1</cdr:y>
    </cdr:to>
    <cdr:sp macro="" textlink="">
      <cdr:nvSpPr>
        <cdr:cNvPr id="3" name="TextBox 17">
          <a:extLst xmlns:a="http://schemas.openxmlformats.org/drawingml/2006/main">
            <a:ext uri="{FF2B5EF4-FFF2-40B4-BE49-F238E27FC236}">
              <a16:creationId xmlns:a16="http://schemas.microsoft.com/office/drawing/2014/main" id="{24250AF2-9BB6-4E00-97A1-1B750AD95C75}"/>
            </a:ext>
          </a:extLst>
        </cdr:cNvPr>
        <cdr:cNvSpPr txBox="1"/>
      </cdr:nvSpPr>
      <cdr:spPr>
        <a:xfrm xmlns:a="http://schemas.openxmlformats.org/drawingml/2006/main">
          <a:off x="0" y="1611628"/>
          <a:ext cx="1676400" cy="312421"/>
        </a:xfrm>
        <a:prstGeom xmlns:a="http://schemas.openxmlformats.org/drawingml/2006/main" prst="rect">
          <a:avLst/>
        </a:prstGeom>
        <a:noFill xmlns:a="http://schemas.openxmlformats.org/drawingml/2006/main"/>
        <a:ln xmlns:a="http://schemas.openxmlformats.org/drawingml/2006/main" w="9525" cmpd="sng">
          <a:solidFill>
            <a:schemeClr val="accent1"/>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400" b="1">
              <a:solidFill>
                <a:srgbClr val="FF99CC"/>
              </a:solidFill>
              <a:effectLst/>
              <a:latin typeface="+mn-lt"/>
              <a:ea typeface="+mn-ea"/>
              <a:cs typeface="+mn-cs"/>
            </a:rPr>
            <a:t>Patient wait time</a:t>
          </a:r>
          <a:endParaRPr lang="en-IN" sz="1400">
            <a:solidFill>
              <a:srgbClr val="FF99CC"/>
            </a:solidFill>
            <a:effectLst/>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0.04906</cdr:x>
      <cdr:y>0.87963</cdr:y>
    </cdr:from>
    <cdr:to>
      <cdr:x>0.69182</cdr:x>
      <cdr:y>1</cdr:y>
    </cdr:to>
    <cdr:sp macro="" textlink="">
      <cdr:nvSpPr>
        <cdr:cNvPr id="2" name="TextBox 17">
          <a:extLst xmlns:a="http://schemas.openxmlformats.org/drawingml/2006/main">
            <a:ext uri="{FF2B5EF4-FFF2-40B4-BE49-F238E27FC236}">
              <a16:creationId xmlns:a16="http://schemas.microsoft.com/office/drawing/2014/main" id="{24250AF2-9BB6-4E00-97A1-1B750AD95C75}"/>
            </a:ext>
          </a:extLst>
        </cdr:cNvPr>
        <cdr:cNvSpPr txBox="1"/>
      </cdr:nvSpPr>
      <cdr:spPr>
        <a:xfrm xmlns:a="http://schemas.openxmlformats.org/drawingml/2006/main">
          <a:off x="123824" y="1809750"/>
          <a:ext cx="1622425" cy="247649"/>
        </a:xfrm>
        <a:prstGeom xmlns:a="http://schemas.openxmlformats.org/drawingml/2006/main" prst="rect">
          <a:avLst/>
        </a:prstGeom>
        <a:noFill xmlns:a="http://schemas.openxmlformats.org/drawingml/2006/main"/>
        <a:ln xmlns:a="http://schemas.openxmlformats.org/drawingml/2006/main" w="9525" cmpd="sng">
          <a:solidFill>
            <a:schemeClr val="accent1"/>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400" b="1">
              <a:solidFill>
                <a:srgbClr val="FF99CC"/>
              </a:solidFill>
              <a:effectLst/>
              <a:latin typeface="+mn-lt"/>
              <a:ea typeface="+mn-ea"/>
              <a:cs typeface="+mn-cs"/>
            </a:rPr>
            <a:t>Genderwise Analysis</a:t>
          </a:r>
          <a:endParaRPr lang="en-IN" sz="1400">
            <a:solidFill>
              <a:srgbClr val="FF99CC"/>
            </a:solidFill>
            <a:effectLst/>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0.36704</cdr:x>
      <cdr:y>0.78645</cdr:y>
    </cdr:from>
    <cdr:to>
      <cdr:x>0.99855</cdr:x>
      <cdr:y>0.95603</cdr:y>
    </cdr:to>
    <cdr:sp macro="" textlink="">
      <cdr:nvSpPr>
        <cdr:cNvPr id="2" name="TextBox 30">
          <a:extLst xmlns:a="http://schemas.openxmlformats.org/drawingml/2006/main">
            <a:ext uri="{FF2B5EF4-FFF2-40B4-BE49-F238E27FC236}">
              <a16:creationId xmlns:a16="http://schemas.microsoft.com/office/drawing/2014/main" id="{DB62E602-056E-4E99-BE8B-A7B173726D01}"/>
            </a:ext>
          </a:extLst>
        </cdr:cNvPr>
        <cdr:cNvSpPr txBox="1"/>
      </cdr:nvSpPr>
      <cdr:spPr>
        <a:xfrm xmlns:a="http://schemas.openxmlformats.org/drawingml/2006/main">
          <a:off x="1207887" y="1824039"/>
          <a:ext cx="2078238" cy="393326"/>
        </a:xfrm>
        <a:prstGeom xmlns:a="http://schemas.openxmlformats.org/drawingml/2006/main" prst="rect">
          <a:avLst/>
        </a:prstGeom>
        <a:noFill xmlns:a="http://schemas.openxmlformats.org/drawingml/2006/main"/>
        <a:ln xmlns:a="http://schemas.openxmlformats.org/drawingml/2006/main" w="9525" cmpd="sng">
          <a:solidFill>
            <a:schemeClr val="accent1"/>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200" b="1">
              <a:solidFill>
                <a:srgbClr val="FF99CC"/>
              </a:solidFill>
              <a:effectLst/>
              <a:latin typeface="+mn-lt"/>
              <a:ea typeface="+mn-ea"/>
              <a:cs typeface="+mn-cs"/>
            </a:rPr>
            <a:t>No.Of Patients by Department Refferel</a:t>
          </a:r>
          <a:endParaRPr lang="en-IN" sz="1200">
            <a:solidFill>
              <a:srgbClr val="FF99CC"/>
            </a:solidFill>
            <a:effectLst/>
          </a:endParaRPr>
        </a:p>
      </cdr:txBody>
    </cdr:sp>
  </cdr:relSizeAnchor>
</c:userShapes>
</file>

<file path=xl/drawings/drawing6.xml><?xml version="1.0" encoding="utf-8"?>
<xdr:wsDr xmlns:xdr="http://schemas.openxmlformats.org/drawingml/2006/spreadsheetDrawing" xmlns:a="http://schemas.openxmlformats.org/drawingml/2006/main">
  <xdr:twoCellAnchor>
    <xdr:from>
      <xdr:col>2</xdr:col>
      <xdr:colOff>0</xdr:colOff>
      <xdr:row>5</xdr:row>
      <xdr:rowOff>0</xdr:rowOff>
    </xdr:from>
    <xdr:to>
      <xdr:col>14</xdr:col>
      <xdr:colOff>609600</xdr:colOff>
      <xdr:row>18</xdr:row>
      <xdr:rowOff>100012</xdr:rowOff>
    </xdr:to>
    <xdr:graphicFrame macro="">
      <xdr:nvGraphicFramePr>
        <xdr:cNvPr id="4" name="Chart 3">
          <a:extLst>
            <a:ext uri="{FF2B5EF4-FFF2-40B4-BE49-F238E27FC236}">
              <a16:creationId xmlns:a16="http://schemas.microsoft.com/office/drawing/2014/main" id="{1AB6B926-4368-4C9A-817D-041CA976D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0</xdr:rowOff>
    </xdr:from>
    <xdr:to>
      <xdr:col>2</xdr:col>
      <xdr:colOff>33338</xdr:colOff>
      <xdr:row>4</xdr:row>
      <xdr:rowOff>138113</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C32E6F23-6826-48D2-953F-EFB73DB1C2D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47700" y="180975"/>
          <a:ext cx="681038" cy="68103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547688</xdr:colOff>
      <xdr:row>1</xdr:row>
      <xdr:rowOff>95250</xdr:rowOff>
    </xdr:from>
    <xdr:to>
      <xdr:col>16</xdr:col>
      <xdr:colOff>233362</xdr:colOff>
      <xdr:row>20</xdr:row>
      <xdr:rowOff>19050</xdr:rowOff>
    </xdr:to>
    <xdr:graphicFrame macro="">
      <xdr:nvGraphicFramePr>
        <xdr:cNvPr id="2" name="Chart 1">
          <a:extLst>
            <a:ext uri="{FF2B5EF4-FFF2-40B4-BE49-F238E27FC236}">
              <a16:creationId xmlns:a16="http://schemas.microsoft.com/office/drawing/2014/main" id="{09EA4CF0-8FDB-4BE8-8128-249E0F894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295276</xdr:colOff>
      <xdr:row>0</xdr:row>
      <xdr:rowOff>71439</xdr:rowOff>
    </xdr:from>
    <xdr:to>
      <xdr:col>1</xdr:col>
      <xdr:colOff>328614</xdr:colOff>
      <xdr:row>4</xdr:row>
      <xdr:rowOff>28577</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D3A47484-58F2-75F6-8F92-7830A6D17C3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5276" y="71439"/>
          <a:ext cx="681038" cy="68103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1</xdr:row>
      <xdr:rowOff>180974</xdr:rowOff>
    </xdr:from>
    <xdr:to>
      <xdr:col>10</xdr:col>
      <xdr:colOff>476250</xdr:colOff>
      <xdr:row>17</xdr:row>
      <xdr:rowOff>42863</xdr:rowOff>
    </xdr:to>
    <xdr:graphicFrame macro="">
      <xdr:nvGraphicFramePr>
        <xdr:cNvPr id="5" name="Chart 4">
          <a:extLst>
            <a:ext uri="{FF2B5EF4-FFF2-40B4-BE49-F238E27FC236}">
              <a16:creationId xmlns:a16="http://schemas.microsoft.com/office/drawing/2014/main" id="{6289F16B-15F2-4557-8F40-C76788D1F9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523875</xdr:colOff>
      <xdr:row>0</xdr:row>
      <xdr:rowOff>147637</xdr:rowOff>
    </xdr:from>
    <xdr:to>
      <xdr:col>1</xdr:col>
      <xdr:colOff>500063</xdr:colOff>
      <xdr:row>4</xdr:row>
      <xdr:rowOff>47625</xdr:rowOff>
    </xdr:to>
    <xdr:pic>
      <xdr:nvPicPr>
        <xdr:cNvPr id="7" name="Graphic 6" descr="Home with solid fill">
          <a:hlinkClick xmlns:r="http://schemas.openxmlformats.org/officeDocument/2006/relationships" r:id="rId2"/>
          <a:extLst>
            <a:ext uri="{FF2B5EF4-FFF2-40B4-BE49-F238E27FC236}">
              <a16:creationId xmlns:a16="http://schemas.microsoft.com/office/drawing/2014/main" id="{41CE5298-9E04-BC1F-D16A-C811C310DE6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23875" y="147637"/>
          <a:ext cx="623888" cy="62388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esh Patil" refreshedDate="45949.658346875003" createdVersion="5" refreshedVersion="8" minRefreshableVersion="3" recordCount="0" supportSubquery="1" supportAdvancedDrill="1" xr:uid="{7C241D44-8E41-45CB-84B4-359F08234F62}">
  <cacheSource type="external" connectionId="3"/>
  <cacheFields count="4">
    <cacheField name="[Measures].[Distinct Count of Patient Id]" caption="Distinct Count of Patient Id" numFmtId="0" hierarchy="24" level="32767"/>
    <cacheField name="[Calender Date].[Date (Day)].[Date (Day)]" caption="Date (Day)" numFmtId="0" hierarchy="4"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 Date].[Date (Month)].[Date (Month)]" caption="Date (Month)" numFmtId="0" hierarchy="3" level="1">
      <sharedItems containsSemiMixedTypes="0" containsNonDate="0" containsString="0"/>
    </cacheField>
    <cacheField name="[Calender Date].[Date (Year)].[Date (Year)]" caption="Date (Year)" numFmtId="0" hierarchy="1" level="1">
      <sharedItems containsSemiMixedTypes="0" containsNonDate="0" containsString="0"/>
    </cacheField>
  </cacheFields>
  <cacheHierarchies count="35">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3"/>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2"/>
      </fieldsUsage>
    </cacheHierarchy>
    <cacheHierarchy uniqueName="[Calender Date].[Date (Day)]" caption="Date (Day)" attribute="1" defaultMemberUniqueName="[Calender Date].[Date (Day)].[All]" allUniqueName="[Calender Date].[Date (Day)].[All]" dimensionUniqueName="[Calender Dat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Date].[Date (Day Index)]" caption="Date (Day Index)" attribute="1" defaultMemberUniqueName="[Calender Date].[Date (Day Index)].[All]" allUniqueName="[Calender Date].[Date (Day Index)].[All]" dimensionUniqueName="[Calender Date]" displayFolder="" count="0"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esh Patil" refreshedDate="45949.658346990742" createdVersion="5" refreshedVersion="8" minRefreshableVersion="3" recordCount="0" supportSubquery="1" supportAdvancedDrill="1" xr:uid="{56307B5C-1D97-4CD5-9988-F9E8935C4540}">
  <cacheSource type="external" connectionId="3"/>
  <cacheFields count="3">
    <cacheField name="[Calender Date].[Date (Month)].[Date (Month)]" caption="Date (Month)" numFmtId="0" hierarchy="3" level="1">
      <sharedItems containsSemiMixedTypes="0" containsNonDate="0" containsString="0"/>
    </cacheField>
    <cacheField name="[Measures].[Count of Patient Id]" caption="Count of Patient Id" numFmtId="0" hierarchy="23" level="32767"/>
    <cacheField name="[Calender Date].[Date (Year)].[Date (Year)]" caption="Date (Year)" numFmtId="0" hierarchy="1" level="1">
      <sharedItems containsSemiMixedTypes="0" containsNonDate="0" containsString="0"/>
    </cacheField>
  </cacheFields>
  <cacheHierarchies count="35">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2"/>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0"/>
      </fieldsUsage>
    </cacheHierarchy>
    <cacheHierarchy uniqueName="[Calender Date].[Date (Day)]" caption="Date (Day)" attribute="1" defaultMemberUniqueName="[Calender Date].[Date (Day)].[All]" allUniqueName="[Calender Date].[Date (Day)].[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Date].[Date (Day Index)]" caption="Date (Day Index)" attribute="1" defaultMemberUniqueName="[Calender Date].[Date (Day Index)].[All]" allUniqueName="[Calender Date].[Date (Day Index)].[All]" dimensionUniqueName="[Calender Date]" displayFolder="" count="0"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esh Patil" refreshedDate="45949.658347222219" createdVersion="5" refreshedVersion="8" minRefreshableVersion="3" recordCount="0" supportSubquery="1" supportAdvancedDrill="1" xr:uid="{637FCB56-CD88-4682-8F7A-0BB5FFED7356}">
  <cacheSource type="external" connectionId="3"/>
  <cacheFields count="3">
    <cacheField name="[Measures].[Average of Patient Waittime]" caption="Average of Patient Waittime" numFmtId="0" hierarchy="27" level="32767"/>
    <cacheField name="[Calender Date].[Date (Month)].[Date (Month)]" caption="Date (Month)" numFmtId="0" hierarchy="3" level="1">
      <sharedItems containsSemiMixedTypes="0" containsNonDate="0" containsString="0"/>
    </cacheField>
    <cacheField name="[Calender Date].[Date (Year)].[Date (Year)]" caption="Date (Year)" numFmtId="0" hierarchy="1" level="1">
      <sharedItems containsSemiMixedTypes="0" containsNonDate="0" containsString="0"/>
    </cacheField>
  </cacheFields>
  <cacheHierarchies count="35">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2"/>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1"/>
      </fieldsUsage>
    </cacheHierarchy>
    <cacheHierarchy uniqueName="[Calender Date].[Date (Day)]" caption="Date (Day)" attribute="1" defaultMemberUniqueName="[Calender Date].[Date (Day)].[All]" allUniqueName="[Calender Date].[Date (Day)].[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Date].[Date (Day Index)]" caption="Date (Day Index)" attribute="1" defaultMemberUniqueName="[Calender Date].[Date (Day Index)].[All]" allUniqueName="[Calender Date].[Date (Day Index)].[All]" dimensionUniqueName="[Calender Date]" displayFolder="" count="0"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esh Patil" refreshedDate="45949.658347453704" createdVersion="5" refreshedVersion="8" minRefreshableVersion="3" recordCount="0" supportSubquery="1" supportAdvancedDrill="1" xr:uid="{E9A3EA05-B27D-48FB-A79D-54327AA92761}">
  <cacheSource type="external" connectionId="3"/>
  <cacheFields count="3">
    <cacheField name="[Measures].[Average of Patient Satisfaction Score]" caption="Average of Patient Satisfaction Score" numFmtId="0" hierarchy="29" level="32767"/>
    <cacheField name="[Calender Date].[Date (Month)].[Date (Month)]" caption="Date (Month)" numFmtId="0" hierarchy="3" level="1">
      <sharedItems containsSemiMixedTypes="0" containsNonDate="0" containsString="0"/>
    </cacheField>
    <cacheField name="[Calender Date].[Date (Year)].[Date (Year)]" caption="Date (Year)" numFmtId="0" hierarchy="1" level="1">
      <sharedItems containsSemiMixedTypes="0" containsNonDate="0" containsString="0"/>
    </cacheField>
  </cacheFields>
  <cacheHierarchies count="35">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2"/>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1"/>
      </fieldsUsage>
    </cacheHierarchy>
    <cacheHierarchy uniqueName="[Calender Date].[Date (Day)]" caption="Date (Day)" attribute="1" defaultMemberUniqueName="[Calender Date].[Date (Day)].[All]" allUniqueName="[Calender Date].[Date (Day)].[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Date].[Date (Day Index)]" caption="Date (Day Index)" attribute="1" defaultMemberUniqueName="[Calender Date].[Date (Day Index)].[All]" allUniqueName="[Calender Date].[Date (Day Index)].[All]" dimensionUniqueName="[Calender Date]" displayFolder="" count="0"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esh Patil" refreshedDate="45949.65834814815" createdVersion="5" refreshedVersion="8" minRefreshableVersion="3" recordCount="0" supportSubquery="1" supportAdvancedDrill="1" xr:uid="{68C569B0-35A4-4604-B590-54A8A35C9D62}">
  <cacheSource type="external" connectionId="3"/>
  <cacheFields count="4">
    <cacheField name="[Calender Date].[Date (Day)].[Date (Day)]" caption="Date (Day)" numFmtId="0" hierarchy="4"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 Date].[Date (Month)].[Date (Month)]" caption="Date (Month)" numFmtId="0" hierarchy="3" level="1">
      <sharedItems containsSemiMixedTypes="0" containsNonDate="0" containsString="0"/>
    </cacheField>
    <cacheField name="[Measures].[Average of Patient Waittime]" caption="Average of Patient Waittime" numFmtId="0" hierarchy="27" level="32767"/>
    <cacheField name="[Calender Date].[Date (Year)].[Date (Year)]" caption="Date (Year)" numFmtId="0" hierarchy="1" level="1">
      <sharedItems containsSemiMixedTypes="0" containsNonDate="0" containsString="0"/>
    </cacheField>
  </cacheFields>
  <cacheHierarchies count="35">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3"/>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1"/>
      </fieldsUsage>
    </cacheHierarchy>
    <cacheHierarchy uniqueName="[Calender Date].[Date (Day)]" caption="Date (Day)" attribute="1" defaultMemberUniqueName="[Calender Date].[Date (Day)].[All]" allUniqueName="[Calender Date].[Date (Day)].[All]" dimensionUniqueName="[Calender Dat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Date].[Date (Day Index)]" caption="Date (Day Index)" attribute="1" defaultMemberUniqueName="[Calender Date].[Date (Day Index)].[All]" allUniqueName="[Calender Date].[Date (Day Index)].[All]" dimensionUniqueName="[Calender Date]" displayFolder="" count="0"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esh Patil" refreshedDate="45949.658348495374" createdVersion="5" refreshedVersion="8" minRefreshableVersion="3" recordCount="0" supportSubquery="1" supportAdvancedDrill="1" xr:uid="{C3CC6149-1223-4289-95BF-DACECBEA42AF}">
  <cacheSource type="external" connectionId="3"/>
  <cacheFields count="4">
    <cacheField name="[Calender Date].[Date (Day)].[Date (Day)]" caption="Date (Day)" numFmtId="0" hierarchy="4"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 Date].[Date (Month)].[Date (Month)]" caption="Date (Month)" numFmtId="0" hierarchy="3" level="1">
      <sharedItems containsSemiMixedTypes="0" containsNonDate="0" containsString="0"/>
    </cacheField>
    <cacheField name="[Measures].[Average of Patient Satisfaction Score]" caption="Average of Patient Satisfaction Score" numFmtId="0" hierarchy="29" level="32767"/>
    <cacheField name="[Calender Date].[Date (Year)].[Date (Year)]" caption="Date (Year)" numFmtId="0" hierarchy="1" level="1">
      <sharedItems containsSemiMixedTypes="0" containsNonDate="0" containsString="0"/>
    </cacheField>
  </cacheFields>
  <cacheHierarchies count="35">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3"/>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1"/>
      </fieldsUsage>
    </cacheHierarchy>
    <cacheHierarchy uniqueName="[Calender Date].[Date (Day)]" caption="Date (Day)" attribute="1" defaultMemberUniqueName="[Calender Date].[Date (Day)].[All]" allUniqueName="[Calender Date].[Date (Day)].[All]" dimensionUniqueName="[Calender Dat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Date].[Date (Day Index)]" caption="Date (Day Index)" attribute="1" defaultMemberUniqueName="[Calender Date].[Date (Day Index)].[All]" allUniqueName="[Calender Date].[Date (Day Index)].[All]" dimensionUniqueName="[Calender Date]" displayFolder="" count="0"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esh Patil" refreshedDate="45949.658349074074" createdVersion="5" refreshedVersion="8" minRefreshableVersion="3" recordCount="0" supportSubquery="1" supportAdvancedDrill="1" xr:uid="{09445355-F6C4-4DE3-B2EA-7B70AB73C56A}">
  <cacheSource type="external" connectionId="3"/>
  <cacheFields count="4">
    <cacheField name="[Calender Date].[Date (Month)].[Date (Month)]" caption="Date (Month)" numFmtId="0" hierarchy="3"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er Date].[Date (Year)].[Date (Year)]" caption="Date (Year)" numFmtId="0" hierarchy="1" level="1">
      <sharedItems containsSemiMixedTypes="0" containsNonDate="0" containsString="0"/>
    </cacheField>
  </cacheFields>
  <cacheHierarchies count="35">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3"/>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0"/>
      </fieldsUsage>
    </cacheHierarchy>
    <cacheHierarchy uniqueName="[Calender Date].[Date (Day)]" caption="Date (Day)" attribute="1" defaultMemberUniqueName="[Calender Date].[Date (Day)].[All]" allUniqueName="[Calender Date].[Date (Day)].[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Date].[Date (Day Index)]" caption="Date (Day Index)" attribute="1" defaultMemberUniqueName="[Calender Date].[Date (Day Index)].[All]" allUniqueName="[Calender Date].[Date (Day Index)].[All]" dimensionUniqueName="[Calender Date]" displayFolder="" count="0"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esh Patil" refreshedDate="45949.658349652775" createdVersion="5" refreshedVersion="8" minRefreshableVersion="3" recordCount="0" supportSubquery="1" supportAdvancedDrill="1" xr:uid="{90845763-3479-4C6A-AD9A-3CBAAA416E24}">
  <cacheSource type="external" connectionId="3"/>
  <cacheFields count="4">
    <cacheField name="[Calender Date].[Date (Month)].[Date (Month)]" caption="Date (Month)" numFmtId="0" hierarchy="3" level="1">
      <sharedItems containsSemiMixedTypes="0" containsNonDate="0" containsString="0"/>
    </cacheField>
    <cacheField name="[Hospital Emergency Room Data].[Patient Age Group].[Patient Age Group]" caption="Patient Age Group" numFmtId="0" hierarchy="16" level="1">
      <sharedItems count="8">
        <s v="0-9"/>
        <s v="10-19"/>
        <s v="20-29"/>
        <s v="30-39"/>
        <s v="40-49"/>
        <s v="50-59"/>
        <s v="60-69"/>
        <s v="70-79"/>
      </sharedItems>
    </cacheField>
    <cacheField name="[Measures].[Count of Patient Age Group]" caption="Count of Patient Age Group" numFmtId="0" hierarchy="32" level="32767"/>
    <cacheField name="[Calender Date].[Date (Year)].[Date (Year)]" caption="Date (Year)" numFmtId="0" hierarchy="1" level="1">
      <sharedItems containsSemiMixedTypes="0" containsNonDate="0" containsString="0"/>
    </cacheField>
  </cacheFields>
  <cacheHierarchies count="35">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3"/>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0"/>
      </fieldsUsage>
    </cacheHierarchy>
    <cacheHierarchy uniqueName="[Calender Date].[Date (Day)]" caption="Date (Day)" attribute="1" defaultMemberUniqueName="[Calender Date].[Date (Day)].[All]" allUniqueName="[Calender Date].[Date (Day)].[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Date].[Date (Day Index)]" caption="Date (Day Index)" attribute="1" defaultMemberUniqueName="[Calender Date].[Date (Day Index)].[All]" allUniqueName="[Calender Date].[Date (Day Index)].[All]" dimensionUniqueName="[Calender Date]" displayFolder="" count="0"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Group]" caption="Count of Patient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esh Patil" refreshedDate="45949.658350231482" createdVersion="5" refreshedVersion="8" minRefreshableVersion="3" recordCount="0" supportSubquery="1" supportAdvancedDrill="1" xr:uid="{6F13C0B0-0771-4136-BD7F-CA2DFEF0ED18}">
  <cacheSource type="external" connectionId="3"/>
  <cacheFields count="4">
    <cacheField name="[Calender Date].[Date (Month)].[Date (Month)]" caption="Date (Month)" numFmtId="0" hierarchy="3"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Id]" caption="Count of Patient Id" numFmtId="0" hierarchy="23" level="32767"/>
    <cacheField name="[Calender Date].[Date (Year)].[Date (Year)]" caption="Date (Year)" numFmtId="0" hierarchy="1" level="1">
      <sharedItems containsSemiMixedTypes="0" containsNonDate="0" containsString="0"/>
    </cacheField>
  </cacheFields>
  <cacheHierarchies count="35">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3"/>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0"/>
      </fieldsUsage>
    </cacheHierarchy>
    <cacheHierarchy uniqueName="[Calender Date].[Date (Day)]" caption="Date (Day)" attribute="1" defaultMemberUniqueName="[Calender Date].[Date (Day)].[All]" allUniqueName="[Calender Date].[Date (Day)].[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 Date].[Date (Day Index)]" caption="Date (Day Index)" attribute="1" defaultMemberUniqueName="[Calender Date].[Date (Day Index)].[All]" allUniqueName="[Calender Date].[Date (Day Index)].[All]" dimensionUniqueName="[Calender Date]" displayFolder="" count="0"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esh Patil" refreshedDate="45949.658350925929" createdVersion="5" refreshedVersion="8" minRefreshableVersion="3" recordCount="0" supportSubquery="1" supportAdvancedDrill="1" xr:uid="{A4815AAD-D4F7-486E-A8D1-480BFD701A30}">
  <cacheSource type="external" connectionId="3"/>
  <cacheFields count="4">
    <cacheField name="[Calender Date].[Date (Month)].[Date (Month)]" caption="Date (Month)" numFmtId="0" hierarchy="3"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 Date].[Date (Year)].[Date (Year)]" caption="Date (Year)" numFmtId="0" hierarchy="1" level="1">
      <sharedItems containsSemiMixedTypes="0" containsNonDate="0" containsString="0"/>
    </cacheField>
  </cacheFields>
  <cacheHierarchies count="35">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3"/>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0"/>
      </fieldsUsage>
    </cacheHierarchy>
    <cacheHierarchy uniqueName="[Calender Date].[Date (Day)]" caption="Date (Day)" attribute="1" defaultMemberUniqueName="[Calender Date].[Date (Day)].[All]" allUniqueName="[Calender Date].[Date (Day)].[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Date].[Date (Day Index)]" caption="Date (Day Index)" attribute="1" defaultMemberUniqueName="[Calender Date].[Date (Day Index)].[All]" allUniqueName="[Calender Date].[Date (Day Index)].[All]" dimensionUniqueName="[Calender Date]" displayFolder="" count="0"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esh Patil" refreshedDate="45949.658351273145" createdVersion="5" refreshedVersion="8" minRefreshableVersion="3" recordCount="0" supportSubquery="1" supportAdvancedDrill="1" xr:uid="{98F0DC57-40C6-4254-8B8D-9D73FAB3FB5E}">
  <cacheSource type="external" connectionId="3"/>
  <cacheFields count="4">
    <cacheField name="[Calender Date].[Date (Month)].[Date (Month)]" caption="Date (Month)" numFmtId="0" hierarchy="3"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 Date].[Date (Year)].[Date (Year)]" caption="Date (Year)" numFmtId="0" hierarchy="1" level="1">
      <sharedItems containsSemiMixedTypes="0" containsNonDate="0" containsString="0"/>
    </cacheField>
  </cacheFields>
  <cacheHierarchies count="35">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3"/>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0"/>
      </fieldsUsage>
    </cacheHierarchy>
    <cacheHierarchy uniqueName="[Calender Date].[Date (Day)]" caption="Date (Day)" attribute="1" defaultMemberUniqueName="[Calender Date].[Date (Day)].[All]" allUniqueName="[Calender Date].[Date (Day)].[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Date].[Date (Day Index)]" caption="Date (Day Index)" attribute="1" defaultMemberUniqueName="[Calender Date].[Date (Day Index)].[All]" allUniqueName="[Calender Date].[Date (Day Index)].[All]" dimensionUniqueName="[Calender Date]" displayFolder="" count="0"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esh Patil" refreshedDate="45949.658351851853" createdVersion="5" refreshedVersion="8" minRefreshableVersion="3" recordCount="0" supportSubquery="1" supportAdvancedDrill="1" xr:uid="{C5F0D974-B60E-4F9A-85A1-8857E4F80D0B}">
  <cacheSource type="external" connectionId="3"/>
  <cacheFields count="2">
    <cacheField name="[Calender Date].[Date (Month)].[Date (Month)]" caption="Date (Month)" numFmtId="0" hierarchy="3" level="1">
      <sharedItems containsSemiMixedTypes="0" containsNonDate="0" containsString="0"/>
    </cacheField>
    <cacheField name="[Calender Date].[Date (Year)].[Date (Year)]" caption="Date (Year)" numFmtId="0" hierarchy="1" level="1">
      <sharedItems count="1">
        <s v="2024"/>
      </sharedItems>
    </cacheField>
  </cacheFields>
  <cacheHierarchies count="35">
    <cacheHierarchy uniqueName="[Calender Date].[Date]" caption="Date" attribute="1" time="1" defaultMemberUniqueName="[Calender Date].[Date].[All]" allUniqueName="[Calender Date].[Date].[All]" dimensionUniqueName="[Calender Date]" displayFolder="" count="2"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1"/>
      </fieldsUsage>
    </cacheHierarchy>
    <cacheHierarchy uniqueName="[Calender Date].[Date (Quarter)]" caption="Date (Quarter)" attribute="1" defaultMemberUniqueName="[Calender Date].[Date (Quarter)].[All]" allUniqueName="[Calender Date].[Date (Quarter)].[All]" dimensionUniqueName="[Calender Date]" displayFolder="" count="2" memberValueDatatype="130" unbalanced="0"/>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0"/>
      </fieldsUsage>
    </cacheHierarchy>
    <cacheHierarchy uniqueName="[Calender Date].[Date (Day)]" caption="Date (Day)" attribute="1" defaultMemberUniqueName="[Calender Date].[Date (Day)].[All]" allUniqueName="[Calender Date].[Date (Day)].[All]" dimensionUniqueName="[Calender Dat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 Date].[Date (Day Index)]" caption="Date (Day Index)" attribute="1" defaultMemberUniqueName="[Calender Date].[Date (Day Index)].[All]" allUniqueName="[Calender Date].[Date (Day Index)].[All]" dimensionUniqueName="[Calender Date]" displayFolder="" count="2"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gesh Patil" refreshedDate="45948.052271875" createdVersion="3" refreshedVersion="8" minRefreshableVersion="3" recordCount="0" supportSubquery="1" supportAdvancedDrill="1" xr:uid="{584022BF-B02C-4C8D-B210-9F9A26CE37BC}">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Year)]" caption="Date (Year)" attribute="1" defaultMemberUniqueName="[Calender Date].[Date (Year)].[All]" allUniqueName="[Calender Date].[Date (Year)].[All]" dimensionUniqueName="[Calender Date]" displayFolder="" count="2" memberValueDatatype="130" unbalanced="0"/>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Calender Date].[Date (Month)]" caption="Date (Month)" attribute="1" defaultMemberUniqueName="[Calender Date].[Date (Month)].[All]" allUniqueName="[Calender Date].[Date (Month)].[All]" dimensionUniqueName="[Calender Date]" displayFolder="" count="2" memberValueDatatype="130" unbalanced="0"/>
    <cacheHierarchy uniqueName="[Calender Date].[Date (Day)]" caption="Date (Day)" attribute="1" defaultMemberUniqueName="[Calender Date].[Date (Day)].[All]" allUniqueName="[Calender Date].[Date (Day)].[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Date].[Date (Day Index)]" caption="Date (Day Index)" attribute="1" defaultMemberUniqueName="[Calender Date].[Date (Day Index)].[All]" allUniqueName="[Calender Date].[Date (Day Index)].[All]" dimensionUniqueName="[Calender Date]" displayFolder="" count="0"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3386373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AABD58-1CEA-4168-AE0D-2591490706AC}" name="PivotTable4" cacheId="3" applyNumberFormats="0" applyBorderFormats="0" applyFontFormats="0" applyPatternFormats="0" applyAlignmentFormats="0" applyWidthHeightFormats="1" dataCaption="Values" tag="e1e43b77-ea94-41b5-b084-cffe2ac66afe" updatedVersion="8"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2">
    <format dxfId="1">
      <pivotArea dataOnly="0" labelOnly="1" outline="0" axis="axisValues" fieldPosition="0"/>
    </format>
    <format dxfId="0">
      <pivotArea outline="0" collapsedLevelsAreSubtotals="1" fieldPosition="0"/>
    </format>
  </formats>
  <pivotHierarchies count="35">
    <pivotHierarchy dragToData="1"/>
    <pivotHierarchy multipleItemSelectionAllowed="1" dragToData="1">
      <members count="1" level="1">
        <member name="[Calender Date].[Date (Year)].&amp;[2024]"/>
      </members>
    </pivotHierarchy>
    <pivotHierarchy dragToData="1"/>
    <pivotHierarchy multipleItemSelectionAllowed="1" dragToData="1">
      <members count="1" level="1">
        <member name="[Calender Dat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D7D6BF-F85D-4853-93EF-D824500D39CA}" name="PivotTable2" cacheId="6" applyNumberFormats="0" applyBorderFormats="0" applyFontFormats="0" applyPatternFormats="0" applyAlignmentFormats="0" applyWidthHeightFormats="1" dataCaption="Values" tag="e1e43b77-ea94-41b5-b084-cffe2ac66afe" updatedVersion="8" minRefreshableVersion="3" subtotalHiddenItems="1" itemPrintTitles="1" createdVersion="5" indent="0" outline="1" outlineData="1" multipleFieldFilters="0" chartFormat="2">
  <location ref="A36:B3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dmission Flag" fld="2" subtotal="count" baseField="0" baseItem="0"/>
  </dataFields>
  <formats count="2">
    <format dxfId="3">
      <pivotArea dataOnly="0" labelOnly="1" outline="0" axis="axisValues" fieldPosition="0"/>
    </format>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 Date].[Date (Year)].&amp;[2024]"/>
      </members>
    </pivotHierarchy>
    <pivotHierarchy dragToData="1"/>
    <pivotHierarchy multipleItemSelectionAllowed="1" dragToData="1">
      <members count="1" level="1">
        <member name="[Calender Dat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4B8521-F28A-4805-B213-54574B47DCC1}" name="PivotTable6" cacheId="8" applyNumberFormats="0" applyBorderFormats="0" applyFontFormats="0" applyPatternFormats="0" applyAlignmentFormats="0" applyWidthHeightFormats="1" dataCaption="Values" tag="e1e43b77-ea94-41b5-b084-cffe2ac66afe" updatedVersion="8" minRefreshableVersion="3" subtotalHiddenItems="1" itemPrintTitles="1" createdVersion="5" indent="0" outline="1" outlineData="1" multipleFieldFilters="0" chartFormat="14">
  <location ref="A57:B6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2">
    <format dxfId="5">
      <pivotArea dataOnly="0" labelOnly="1" outline="0" axis="axisValues" fieldPosition="0"/>
    </format>
    <format dxfId="4">
      <pivotArea outline="0" collapsedLevelsAreSubtotals="1" fieldPosition="0"/>
    </format>
  </formats>
  <chartFormats count="3">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 count="1" selected="0">
            <x v="0"/>
          </reference>
        </references>
      </pivotArea>
    </chartFormat>
    <chartFormat chart="12"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 Date].[Date (Year)].&amp;[2024]"/>
      </members>
    </pivotHierarchy>
    <pivotHierarchy dragToData="1"/>
    <pivotHierarchy multipleItemSelectionAllowed="1" dragToData="1">
      <members count="1" level="1">
        <member name="[Calender Dat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Count of Patient Waittime"/>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F07D33-88A2-4B96-9878-B19712B63938}" name="PivotTable3" cacheId="2" applyNumberFormats="0" applyBorderFormats="0" applyFontFormats="0" applyPatternFormats="0" applyAlignmentFormats="0" applyWidthHeightFormats="1" dataCaption="Values" tag="e1e43b77-ea94-41b5-b084-cffe2ac66afe" updatedVersion="8" minRefreshableVersion="3" subtotalHiddenItems="1" itemPrintTitles="1" createdVersion="5"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2">
    <format dxfId="7">
      <pivotArea dataOnly="0" labelOnly="1" outline="0" axis="axisValues" fieldPosition="0"/>
    </format>
    <format dxfId="6">
      <pivotArea outline="0" collapsedLevelsAreSubtotals="1" fieldPosition="0"/>
    </format>
  </formats>
  <pivotHierarchies count="35">
    <pivotHierarchy dragToData="1"/>
    <pivotHierarchy multipleItemSelectionAllowed="1" dragToData="1">
      <members count="1" level="1">
        <member name="[Calender Date].[Date (Year)].&amp;[2024]"/>
      </members>
    </pivotHierarchy>
    <pivotHierarchy dragToData="1"/>
    <pivotHierarchy multipleItemSelectionAllowed="1" dragToData="1">
      <members count="1" level="1">
        <member name="[Calender Dat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Count of Patient Waittime"/>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B4A45E-18CA-4B1B-AA72-4D87D8492BF9}" name="PivotTable5" cacheId="7" applyNumberFormats="0" applyBorderFormats="0" applyFontFormats="0" applyPatternFormats="0" applyAlignmentFormats="0" applyWidthHeightFormats="1" dataCaption="Values" tag="e1e43b77-ea94-41b5-b084-cffe2ac66afe" updatedVersion="8" minRefreshableVersion="3" subtotalHiddenItems="1" itemPrintTitles="1" createdVersion="5" indent="0" outline="1" outlineData="1" multipleFieldFilters="0" chartFormat="9">
  <location ref="A45:B5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Age Group" fld="2" subtotal="count" baseField="0" baseItem="0" numFmtId="1"/>
  </dataFields>
  <formats count="2">
    <format dxfId="9">
      <pivotArea dataOnly="0" labelOnly="1" outline="0" axis="axisValues" fieldPosition="0"/>
    </format>
    <format dxfId="8">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 Date].[Date (Year)].&amp;[2024]"/>
      </members>
    </pivotHierarchy>
    <pivotHierarchy dragToData="1"/>
    <pivotHierarchy multipleItemSelectionAllowed="1" dragToData="1">
      <members count="1" level="1">
        <member name="[Calender Dat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F8457D-097A-4C5C-9407-D303DA3A16B2}" name="PivotTable8" cacheId="4" applyNumberFormats="0" applyBorderFormats="0" applyFontFormats="0" applyPatternFormats="0" applyAlignmentFormats="0" applyWidthHeightFormats="1" dataCaption="Values" tag="e1e43b77-ea94-41b5-b084-cffe2ac66afe" updatedVersion="8" minRefreshableVersion="3" subtotalHiddenItems="1" itemPrintTitles="1" createdVersion="5" indent="0" outline="1" outlineData="1" multipleFieldFilters="0" chartFormat="18">
  <location ref="G2:H34"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2">
    <format dxfId="11">
      <pivotArea dataOnly="0" labelOnly="1" outline="0" axis="axisValues" fieldPosition="0"/>
    </format>
    <format dxfId="10">
      <pivotArea outline="0" collapsedLevelsAreSubtotals="1" fieldPosition="0"/>
    </format>
  </formats>
  <chartFormats count="3">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 Date].[Date (Year)].&amp;[2024]"/>
      </members>
    </pivotHierarchy>
    <pivotHierarchy dragToData="1"/>
    <pivotHierarchy multipleItemSelectionAllowed="1" dragToData="1">
      <members count="1" level="1">
        <member name="[Calender Dat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7F924A-BB1B-41DE-98DB-3CCDC06E4F43}" name="PivotTable7" cacheId="0" applyNumberFormats="0" applyBorderFormats="0" applyFontFormats="0" applyPatternFormats="0" applyAlignmentFormats="0" applyWidthHeightFormats="1" dataCaption="Values" tag="e1e43b77-ea94-41b5-b084-cffe2ac66afe" updatedVersion="8" minRefreshableVersion="3" subtotalHiddenItems="1" itemPrintTitles="1" createdVersion="5" indent="0" outline="1" outlineData="1" multipleFieldFilters="0" chartFormat="12">
  <location ref="C2:D34"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12">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 Date].[Date (Year)].&amp;[2024]"/>
      </members>
    </pivotHierarchy>
    <pivotHierarchy dragToData="1"/>
    <pivotHierarchy multipleItemSelectionAllowed="1" dragToData="1">
      <members count="1" level="1">
        <member name="[Calender Dat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B2719C-773E-4D08-92DE-C484108EB97B}" name="PivotTable13" cacheId="11" applyNumberFormats="0" applyBorderFormats="0" applyFontFormats="0" applyPatternFormats="0" applyAlignmentFormats="0" applyWidthHeightFormats="1" dataCaption="Values" tag="e1e43b77-ea94-41b5-b084-cffe2ac66afe" updatedVersion="8" minRefreshableVersion="3" subtotalHiddenItems="1" itemPrintTitles="1" createdVersion="5" indent="0" outline="1" outlineData="1" multipleFieldFilters="0" chartFormat="19">
  <location ref="A63:A65"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2">
    <format dxfId="14">
      <pivotArea dataOnly="0" labelOnly="1" outline="0" axis="axisValues" fieldPosition="0"/>
    </format>
    <format dxfId="13">
      <pivotArea outline="0" collapsedLevelsAreSubtotals="1" fieldPosition="0"/>
    </format>
  </formats>
  <pivotHierarchies count="35">
    <pivotHierarchy dragToData="1"/>
    <pivotHierarchy multipleItemSelectionAllowed="1" dragToData="1"/>
    <pivotHierarchy dragToData="1"/>
    <pivotHierarchy multipleItemSelectionAllowed="1" dragToData="1">
      <members count="1" level="1">
        <member name="[Calender Dat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Count of Patient Waittime"/>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8233C1-101E-44DF-9A18-5062728E7E82}" name="PivotTable12" cacheId="10" applyNumberFormats="0" applyBorderFormats="0" applyFontFormats="0" applyPatternFormats="0" applyAlignmentFormats="0" applyWidthHeightFormats="1" dataCaption="Values" tag="e1e43b77-ea94-41b5-b084-cffe2ac66afe" updatedVersion="8" minRefreshableVersion="3" subtotalHiddenItems="1" itemPrintTitles="1" createdVersion="5" indent="0" outline="1" outlineData="1" multipleFieldFilters="0" chartFormat="24">
  <location ref="D52:E6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2">
    <format dxfId="16">
      <pivotArea dataOnly="0" labelOnly="1" outline="0" axis="axisValues" fieldPosition="0"/>
    </format>
    <format dxfId="15">
      <pivotArea outline="0" collapsedLevelsAreSubtotals="1" fieldPosition="0"/>
    </format>
  </formats>
  <chartFormats count="1">
    <chartFormat chart="2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 Date].[Date (Year)].&amp;[2024]"/>
      </members>
    </pivotHierarchy>
    <pivotHierarchy dragToData="1"/>
    <pivotHierarchy multipleItemSelectionAllowed="1" dragToData="1">
      <members count="1" level="1">
        <member name="[Calender Dat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Count of Patient Waittime"/>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F66A857-602A-4773-B809-E8BD6CFEE08B}" name="PivotTable1" cacheId="1" applyNumberFormats="0" applyBorderFormats="0" applyFontFormats="0" applyPatternFormats="0" applyAlignmentFormats="0" applyWidthHeightFormats="1" dataCaption="Values" tag="e1e43b77-ea94-41b5-b084-cffe2ac66afe" updatedVersion="8" minRefreshableVersion="3" subtotalHiddenItems="1" itemPrintTitles="1" createdVersion="5" indent="0" outline="1" outlineData="1" multipleFieldFilters="0">
  <location ref="A2:A3"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 Id" fld="1" subtotal="count" baseField="0" baseItem="0"/>
  </dataFields>
  <formats count="1">
    <format dxfId="17">
      <pivotArea dataOnly="0" labelOnly="1" outline="0" axis="axisValues" fieldPosition="0"/>
    </format>
  </formats>
  <pivotHierarchies count="35">
    <pivotHierarchy dragToData="1"/>
    <pivotHierarchy multipleItemSelectionAllowed="1" dragToData="1">
      <members count="1" level="1">
        <member name="[Calender Date].[Date (Year)].&amp;[2024]"/>
      </members>
    </pivotHierarchy>
    <pivotHierarchy dragToData="1"/>
    <pivotHierarchy multipleItemSelectionAllowed="1" dragToData="1">
      <members count="1" level="1">
        <member name="[Calender Dat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175470E-7A2E-4A53-80D5-30BED11A6DB8}" name="PivotTable9" cacheId="5" applyNumberFormats="0" applyBorderFormats="0" applyFontFormats="0" applyPatternFormats="0" applyAlignmentFormats="0" applyWidthHeightFormats="1" dataCaption="Values" tag="e1e43b77-ea94-41b5-b084-cffe2ac66afe" updatedVersion="8" minRefreshableVersion="3" subtotalHiddenItems="1" itemPrintTitles="1" createdVersion="5" indent="0" outline="1" outlineData="1" multipleFieldFilters="0" chartFormat="26">
  <location ref="J2:K34"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19">
      <pivotArea dataOnly="0" labelOnly="1" outline="0" axis="axisValues" fieldPosition="0"/>
    </format>
    <format dxfId="18">
      <pivotArea outline="0" collapsedLevelsAreSubtotals="1" fieldPosition="0"/>
    </format>
  </formats>
  <chartFormats count="3">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 Date].[Date (Year)].&amp;[2024]"/>
      </members>
    </pivotHierarchy>
    <pivotHierarchy dragToData="1"/>
    <pivotHierarchy multipleItemSelectionAllowed="1" dragToData="1">
      <members count="1" level="1">
        <member name="[Calender Dat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B96D8F7-0A9E-41AA-A4C3-CBEC45AE7F8A}" name="PivotTable10" cacheId="9" applyNumberFormats="0" applyBorderFormats="0" applyFontFormats="0" applyPatternFormats="0" applyAlignmentFormats="0" applyWidthHeightFormats="1" dataCaption="Values" tag="e1e43b77-ea94-41b5-b084-cffe2ac66afe" updatedVersion="8" minRefreshableVersion="3" subtotalHiddenItems="1" itemPrintTitles="1" createdVersion="5" indent="0" outline="1" outlineData="1" multipleFieldFilters="0" chartFormat="19">
  <location ref="D46:E4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21">
      <pivotArea dataOnly="0" labelOnly="1" outline="0" axis="axisValues" fieldPosition="0"/>
    </format>
    <format dxfId="20">
      <pivotArea outline="0" collapsedLevelsAreSubtotals="1" fieldPosition="0"/>
    </format>
  </formats>
  <chartFormats count="3">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 Date].[Date (Year)].&amp;[2024]"/>
      </members>
    </pivotHierarchy>
    <pivotHierarchy dragToData="1"/>
    <pivotHierarchy multipleItemSelectionAllowed="1" dragToData="1">
      <members count="1" level="1">
        <member name="[Calender Dat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Count of Patient Waittime"/>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D456C9C-F5FA-4F96-B922-EC3EB6EAC9C8}" sourceName="[Calender Date].[Date (Month)]">
  <pivotTables>
    <pivotTable tabId="1" name="PivotTable7"/>
    <pivotTable tabId="1" name="PivotTable1"/>
    <pivotTable tabId="1" name="PivotTable3"/>
    <pivotTable tabId="1" name="PivotTable4"/>
    <pivotTable tabId="1" name="PivotTable8"/>
    <pivotTable tabId="1" name="PivotTable9"/>
    <pivotTable tabId="1" name="PivotTable2"/>
    <pivotTable tabId="1" name="PivotTable5"/>
    <pivotTable tabId="1" name="PivotTable6"/>
    <pivotTable tabId="1" name="PivotTable10"/>
    <pivotTable tabId="1" name="PivotTable12"/>
    <pivotTable tabId="1" name="PivotTable13"/>
  </pivotTables>
  <data>
    <olap pivotCacheId="1338637327">
      <levels count="2">
        <level uniqueName="[Calender Date].[Date (Month)].[(All)]" sourceCaption="(All)" count="0"/>
        <level uniqueName="[Calender Date].[Date (Month)].[Date (Month)]" sourceCaption="Date (Month)" count="12">
          <ranges>
            <range startItem="0">
              <i n="[Calender Date].[Date (Month)].&amp;[Jan]" c="Jan"/>
              <i n="[Calender Date].[Date (Month)].&amp;[Feb]" c="Feb"/>
              <i n="[Calender Date].[Date (Month)].&amp;[Mar]" c="Mar"/>
              <i n="[Calender Date].[Date (Month)].&amp;[Apr]" c="Apr"/>
              <i n="[Calender Date].[Date (Month)].&amp;[May]" c="May"/>
              <i n="[Calender Date].[Date (Month)].&amp;[Jun]" c="Jun"/>
              <i n="[Calender Date].[Date (Month)].&amp;[Jul]" c="Jul"/>
              <i n="[Calender Date].[Date (Month)].&amp;[Aug]" c="Aug"/>
              <i n="[Calender Date].[Date (Month)].&amp;[Sep]" c="Sep"/>
              <i n="[Calender Date].[Date (Month)].&amp;[Oct]" c="Oct"/>
              <i n="[Calender Date].[Date (Month)].&amp;[Nov]" c="Nov" nd="1"/>
              <i n="[Calender Date].[Date (Month)].&amp;[Dec]" c="Dec" nd="1"/>
            </range>
          </ranges>
        </level>
      </levels>
      <selections count="1">
        <selection n="[Calender Dat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6FC0C6D-5D6C-4936-BEAE-73A4A44A1DB9}" sourceName="[Calender Date].[Date (Year)]">
  <pivotTables>
    <pivotTable tabId="1" name="PivotTable13"/>
    <pivotTable tabId="1" name="PivotTable1"/>
    <pivotTable tabId="1" name="PivotTable10"/>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338637327">
      <levels count="2">
        <level uniqueName="[Calender Date].[Date (Year)].[(All)]" sourceCaption="(All)" count="0"/>
        <level uniqueName="[Calender Date].[Date (Year)].[Date (Year)]" sourceCaption="Date (Year)" count="2">
          <ranges>
            <range startItem="0">
              <i n="[Calender Date].[Date (Year)].&amp;[2024]" c="2024"/>
              <i n="[Calender Date].[Date (Year)].&amp;[2023]" c="2023" nd="1"/>
            </range>
          </ranges>
        </level>
      </levels>
      <selections count="1">
        <selection n="[Calender Dat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8AF008EA-37DF-46D9-917A-2C6AC070D47D}" cache="Slicer_Date__Month" caption="Date (Month)" level="1"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4B06D8EC-7A38-4317-981A-47218E660912}" cache="Slicer_Date__Month" caption="Date (Month)" showCaption="0" level="1" style="Slicer Style 1" rowHeight="249238"/>
  <slicer name="Date (Year)" xr10:uid="{89B01EFB-0D07-45FE-9866-77FBE1FDE809}" cache="Slicer_Date__Year" caption="Date (Year)" columnCount="2" showCaption="0" level="1" style="Slicer Style 1" rowHeight="39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25E1A-DBD0-473E-8AE0-F954ED08F049}">
  <dimension ref="A1:K65"/>
  <sheetViews>
    <sheetView workbookViewId="0">
      <selection activeCell="J2" sqref="J2"/>
    </sheetView>
  </sheetViews>
  <sheetFormatPr defaultRowHeight="14.25" x14ac:dyDescent="0.45"/>
  <cols>
    <col min="1" max="1" width="21.73046875" bestFit="1" customWidth="1"/>
    <col min="2" max="2" width="16.59765625" customWidth="1"/>
    <col min="3" max="3" width="14.3984375" customWidth="1"/>
    <col min="4" max="4" width="14" customWidth="1"/>
    <col min="5" max="5" width="17.53125" customWidth="1"/>
    <col min="7" max="7" width="15.46484375" customWidth="1"/>
    <col min="8" max="8" width="10.265625" bestFit="1" customWidth="1"/>
  </cols>
  <sheetData>
    <row r="1" spans="1:11" x14ac:dyDescent="0.45">
      <c r="A1" t="s">
        <v>1</v>
      </c>
    </row>
    <row r="2" spans="1:11" x14ac:dyDescent="0.45">
      <c r="A2" s="1" t="s">
        <v>6</v>
      </c>
      <c r="C2" s="4" t="s">
        <v>5</v>
      </c>
      <c r="D2" s="1" t="s">
        <v>0</v>
      </c>
      <c r="G2" s="4" t="s">
        <v>5</v>
      </c>
      <c r="H2" s="1" t="s">
        <v>2</v>
      </c>
      <c r="J2" s="4" t="s">
        <v>5</v>
      </c>
      <c r="K2" s="1" t="s">
        <v>3</v>
      </c>
    </row>
    <row r="3" spans="1:11" x14ac:dyDescent="0.45">
      <c r="A3" s="26">
        <v>513</v>
      </c>
      <c r="C3" s="5" t="s">
        <v>37</v>
      </c>
      <c r="D3" s="24">
        <v>19</v>
      </c>
      <c r="G3" s="5" t="s">
        <v>37</v>
      </c>
      <c r="H3" s="8">
        <v>37.789473684210527</v>
      </c>
      <c r="J3" s="5" t="s">
        <v>37</v>
      </c>
      <c r="K3" s="8">
        <v>6.666666666666667</v>
      </c>
    </row>
    <row r="4" spans="1:11" x14ac:dyDescent="0.45">
      <c r="C4" s="6" t="s">
        <v>38</v>
      </c>
      <c r="D4" s="25">
        <v>14</v>
      </c>
      <c r="G4" s="6" t="s">
        <v>38</v>
      </c>
      <c r="H4" s="9">
        <v>38.214285714285715</v>
      </c>
      <c r="J4" s="6" t="s">
        <v>38</v>
      </c>
      <c r="K4" s="9">
        <v>3.5</v>
      </c>
    </row>
    <row r="5" spans="1:11" x14ac:dyDescent="0.45">
      <c r="C5" s="6" t="s">
        <v>39</v>
      </c>
      <c r="D5" s="25">
        <v>13</v>
      </c>
      <c r="G5" s="6" t="s">
        <v>39</v>
      </c>
      <c r="H5" s="9">
        <v>40.92307692307692</v>
      </c>
      <c r="J5" s="6" t="s">
        <v>39</v>
      </c>
      <c r="K5" s="9">
        <v>4.5</v>
      </c>
    </row>
    <row r="6" spans="1:11" x14ac:dyDescent="0.45">
      <c r="A6" s="1" t="s">
        <v>2</v>
      </c>
      <c r="C6" s="6" t="s">
        <v>40</v>
      </c>
      <c r="D6" s="25">
        <v>22</v>
      </c>
      <c r="G6" s="6" t="s">
        <v>40</v>
      </c>
      <c r="H6" s="9">
        <v>34.5</v>
      </c>
      <c r="J6" s="6" t="s">
        <v>40</v>
      </c>
      <c r="K6" s="9">
        <v>4.8</v>
      </c>
    </row>
    <row r="7" spans="1:11" x14ac:dyDescent="0.45">
      <c r="A7" s="2">
        <v>36.323586744639378</v>
      </c>
      <c r="C7" s="6" t="s">
        <v>41</v>
      </c>
      <c r="D7" s="25">
        <v>19</v>
      </c>
      <c r="G7" s="6" t="s">
        <v>41</v>
      </c>
      <c r="H7" s="9">
        <v>30.684210526315791</v>
      </c>
      <c r="J7" s="6" t="s">
        <v>41</v>
      </c>
      <c r="K7" s="9">
        <v>7.75</v>
      </c>
    </row>
    <row r="8" spans="1:11" x14ac:dyDescent="0.45">
      <c r="C8" s="6" t="s">
        <v>42</v>
      </c>
      <c r="D8" s="25">
        <v>15</v>
      </c>
      <c r="G8" s="6" t="s">
        <v>42</v>
      </c>
      <c r="H8" s="9">
        <v>37.666666666666664</v>
      </c>
      <c r="J8" s="6" t="s">
        <v>42</v>
      </c>
      <c r="K8" s="9">
        <v>6.2</v>
      </c>
    </row>
    <row r="9" spans="1:11" x14ac:dyDescent="0.45">
      <c r="C9" s="6" t="s">
        <v>43</v>
      </c>
      <c r="D9" s="25">
        <v>12</v>
      </c>
      <c r="G9" s="6" t="s">
        <v>43</v>
      </c>
      <c r="H9" s="9">
        <v>36.083333333333336</v>
      </c>
      <c r="J9" s="6" t="s">
        <v>43</v>
      </c>
      <c r="K9" s="9">
        <v>3.75</v>
      </c>
    </row>
    <row r="10" spans="1:11" x14ac:dyDescent="0.45">
      <c r="A10" s="1" t="s">
        <v>3</v>
      </c>
      <c r="C10" s="6" t="s">
        <v>44</v>
      </c>
      <c r="D10" s="25">
        <v>21</v>
      </c>
      <c r="G10" s="6" t="s">
        <v>44</v>
      </c>
      <c r="H10" s="9">
        <v>43.523809523809526</v>
      </c>
      <c r="J10" s="6" t="s">
        <v>44</v>
      </c>
      <c r="K10" s="9">
        <v>6.5</v>
      </c>
    </row>
    <row r="11" spans="1:11" x14ac:dyDescent="0.45">
      <c r="A11" s="2">
        <v>4.9591836734693882</v>
      </c>
      <c r="C11" s="6" t="s">
        <v>45</v>
      </c>
      <c r="D11" s="25">
        <v>12</v>
      </c>
      <c r="G11" s="6" t="s">
        <v>45</v>
      </c>
      <c r="H11" s="9">
        <v>29.5</v>
      </c>
      <c r="J11" s="6" t="s">
        <v>45</v>
      </c>
      <c r="K11" s="9">
        <v>3</v>
      </c>
    </row>
    <row r="12" spans="1:11" x14ac:dyDescent="0.45">
      <c r="C12" s="6" t="s">
        <v>46</v>
      </c>
      <c r="D12" s="25">
        <v>13</v>
      </c>
      <c r="G12" s="6" t="s">
        <v>46</v>
      </c>
      <c r="H12" s="9">
        <v>38.07692307692308</v>
      </c>
      <c r="J12" s="6" t="s">
        <v>46</v>
      </c>
      <c r="K12" s="9">
        <v>4.5</v>
      </c>
    </row>
    <row r="13" spans="1:11" x14ac:dyDescent="0.45">
      <c r="C13" s="6" t="s">
        <v>47</v>
      </c>
      <c r="D13" s="25">
        <v>13</v>
      </c>
      <c r="G13" s="6" t="s">
        <v>47</v>
      </c>
      <c r="H13" s="9">
        <v>35.846153846153847</v>
      </c>
      <c r="J13" s="6" t="s">
        <v>47</v>
      </c>
      <c r="K13" s="9">
        <v>6</v>
      </c>
    </row>
    <row r="14" spans="1:11" x14ac:dyDescent="0.45">
      <c r="C14" s="6" t="s">
        <v>48</v>
      </c>
      <c r="D14" s="25">
        <v>16</v>
      </c>
      <c r="G14" s="6" t="s">
        <v>48</v>
      </c>
      <c r="H14" s="9">
        <v>32.625</v>
      </c>
      <c r="J14" s="6" t="s">
        <v>48</v>
      </c>
      <c r="K14" s="9">
        <v>5.2</v>
      </c>
    </row>
    <row r="15" spans="1:11" x14ac:dyDescent="0.45">
      <c r="C15" s="6" t="s">
        <v>49</v>
      </c>
      <c r="D15" s="25">
        <v>20</v>
      </c>
      <c r="G15" s="6" t="s">
        <v>49</v>
      </c>
      <c r="H15" s="9">
        <v>39.200000000000003</v>
      </c>
      <c r="J15" s="6" t="s">
        <v>49</v>
      </c>
      <c r="K15" s="9">
        <v>4.4000000000000004</v>
      </c>
    </row>
    <row r="16" spans="1:11" x14ac:dyDescent="0.45">
      <c r="C16" s="6" t="s">
        <v>50</v>
      </c>
      <c r="D16" s="25">
        <v>25</v>
      </c>
      <c r="G16" s="6" t="s">
        <v>50</v>
      </c>
      <c r="H16" s="9">
        <v>35.28</v>
      </c>
      <c r="J16" s="6" t="s">
        <v>50</v>
      </c>
      <c r="K16" s="9">
        <v>3.4545454545454546</v>
      </c>
    </row>
    <row r="17" spans="3:11" x14ac:dyDescent="0.45">
      <c r="C17" s="6" t="s">
        <v>51</v>
      </c>
      <c r="D17" s="25">
        <v>20</v>
      </c>
      <c r="G17" s="6" t="s">
        <v>51</v>
      </c>
      <c r="H17" s="9">
        <v>32.549999999999997</v>
      </c>
      <c r="J17" s="6" t="s">
        <v>51</v>
      </c>
      <c r="K17" s="9">
        <v>4.4000000000000004</v>
      </c>
    </row>
    <row r="18" spans="3:11" x14ac:dyDescent="0.45">
      <c r="C18" s="6" t="s">
        <v>52</v>
      </c>
      <c r="D18" s="25">
        <v>14</v>
      </c>
      <c r="G18" s="6" t="s">
        <v>52</v>
      </c>
      <c r="H18" s="9">
        <v>35.642857142857146</v>
      </c>
      <c r="J18" s="6" t="s">
        <v>52</v>
      </c>
      <c r="K18" s="9">
        <v>5.833333333333333</v>
      </c>
    </row>
    <row r="19" spans="3:11" x14ac:dyDescent="0.45">
      <c r="C19" s="6" t="s">
        <v>53</v>
      </c>
      <c r="D19" s="25">
        <v>17</v>
      </c>
      <c r="G19" s="6" t="s">
        <v>53</v>
      </c>
      <c r="H19" s="9">
        <v>38.764705882352942</v>
      </c>
      <c r="J19" s="6" t="s">
        <v>53</v>
      </c>
      <c r="K19" s="9">
        <v>4.4444444444444446</v>
      </c>
    </row>
    <row r="20" spans="3:11" x14ac:dyDescent="0.45">
      <c r="C20" s="6" t="s">
        <v>54</v>
      </c>
      <c r="D20" s="25">
        <v>20</v>
      </c>
      <c r="G20" s="6" t="s">
        <v>54</v>
      </c>
      <c r="H20" s="9">
        <v>39.9</v>
      </c>
      <c r="J20" s="6" t="s">
        <v>54</v>
      </c>
      <c r="K20" s="9">
        <v>5.333333333333333</v>
      </c>
    </row>
    <row r="21" spans="3:11" x14ac:dyDescent="0.45">
      <c r="C21" s="6" t="s">
        <v>55</v>
      </c>
      <c r="D21" s="25">
        <v>10</v>
      </c>
      <c r="G21" s="6" t="s">
        <v>55</v>
      </c>
      <c r="H21" s="9">
        <v>41.6</v>
      </c>
      <c r="J21" s="6" t="s">
        <v>55</v>
      </c>
      <c r="K21" s="9">
        <v>5.333333333333333</v>
      </c>
    </row>
    <row r="22" spans="3:11" x14ac:dyDescent="0.45">
      <c r="C22" s="6" t="s">
        <v>56</v>
      </c>
      <c r="D22" s="25">
        <v>17</v>
      </c>
      <c r="G22" s="6" t="s">
        <v>56</v>
      </c>
      <c r="H22" s="9">
        <v>39.470588235294116</v>
      </c>
      <c r="J22" s="6" t="s">
        <v>56</v>
      </c>
      <c r="K22" s="9">
        <v>5.5714285714285712</v>
      </c>
    </row>
    <row r="23" spans="3:11" x14ac:dyDescent="0.45">
      <c r="C23" s="6" t="s">
        <v>57</v>
      </c>
      <c r="D23" s="25">
        <v>15</v>
      </c>
      <c r="G23" s="6" t="s">
        <v>57</v>
      </c>
      <c r="H23" s="9">
        <v>27.733333333333334</v>
      </c>
      <c r="J23" s="6" t="s">
        <v>57</v>
      </c>
      <c r="K23" s="9">
        <v>5</v>
      </c>
    </row>
    <row r="24" spans="3:11" x14ac:dyDescent="0.45">
      <c r="C24" s="6" t="s">
        <v>58</v>
      </c>
      <c r="D24" s="25">
        <v>16</v>
      </c>
      <c r="G24" s="6" t="s">
        <v>58</v>
      </c>
      <c r="H24" s="9">
        <v>36.875</v>
      </c>
      <c r="J24" s="6" t="s">
        <v>58</v>
      </c>
      <c r="K24" s="9">
        <v>6.4</v>
      </c>
    </row>
    <row r="25" spans="3:11" x14ac:dyDescent="0.45">
      <c r="C25" s="6" t="s">
        <v>59</v>
      </c>
      <c r="D25" s="25">
        <v>18</v>
      </c>
      <c r="G25" s="6" t="s">
        <v>59</v>
      </c>
      <c r="H25" s="9">
        <v>40.333333333333336</v>
      </c>
      <c r="J25" s="6" t="s">
        <v>59</v>
      </c>
      <c r="K25" s="9">
        <v>5.333333333333333</v>
      </c>
    </row>
    <row r="26" spans="3:11" x14ac:dyDescent="0.45">
      <c r="C26" s="6" t="s">
        <v>60</v>
      </c>
      <c r="D26" s="25">
        <v>16</v>
      </c>
      <c r="G26" s="6" t="s">
        <v>60</v>
      </c>
      <c r="H26" s="9">
        <v>36.5</v>
      </c>
      <c r="J26" s="6" t="s">
        <v>60</v>
      </c>
      <c r="K26" s="9">
        <v>3.75</v>
      </c>
    </row>
    <row r="27" spans="3:11" x14ac:dyDescent="0.45">
      <c r="C27" s="6" t="s">
        <v>61</v>
      </c>
      <c r="D27" s="25">
        <v>15</v>
      </c>
      <c r="G27" s="6" t="s">
        <v>61</v>
      </c>
      <c r="H27" s="9">
        <v>32.866666666666667</v>
      </c>
      <c r="J27" s="6" t="s">
        <v>61</v>
      </c>
      <c r="K27" s="9">
        <v>6.333333333333333</v>
      </c>
    </row>
    <row r="28" spans="3:11" x14ac:dyDescent="0.45">
      <c r="C28" s="6" t="s">
        <v>62</v>
      </c>
      <c r="D28" s="25">
        <v>14</v>
      </c>
      <c r="G28" s="6" t="s">
        <v>62</v>
      </c>
      <c r="H28" s="9">
        <v>36.642857142857146</v>
      </c>
      <c r="J28" s="6" t="s">
        <v>62</v>
      </c>
      <c r="K28" s="9">
        <v>10</v>
      </c>
    </row>
    <row r="29" spans="3:11" x14ac:dyDescent="0.45">
      <c r="C29" s="6" t="s">
        <v>63</v>
      </c>
      <c r="D29" s="25">
        <v>16</v>
      </c>
      <c r="G29" s="6" t="s">
        <v>63</v>
      </c>
      <c r="H29" s="9">
        <v>36.5625</v>
      </c>
      <c r="J29" s="6" t="s">
        <v>63</v>
      </c>
      <c r="K29" s="9">
        <v>5</v>
      </c>
    </row>
    <row r="30" spans="3:11" x14ac:dyDescent="0.45">
      <c r="C30" s="6" t="s">
        <v>64</v>
      </c>
      <c r="D30" s="25">
        <v>20</v>
      </c>
      <c r="G30" s="6" t="s">
        <v>64</v>
      </c>
      <c r="H30" s="9">
        <v>32.15</v>
      </c>
      <c r="J30" s="6" t="s">
        <v>64</v>
      </c>
      <c r="K30" s="9">
        <v>5.333333333333333</v>
      </c>
    </row>
    <row r="31" spans="3:11" x14ac:dyDescent="0.45">
      <c r="C31" s="6" t="s">
        <v>65</v>
      </c>
      <c r="D31" s="25">
        <v>19</v>
      </c>
      <c r="G31" s="6" t="s">
        <v>65</v>
      </c>
      <c r="H31" s="9">
        <v>38.368421052631582</v>
      </c>
      <c r="J31" s="6" t="s">
        <v>65</v>
      </c>
      <c r="K31" s="9">
        <v>4.8</v>
      </c>
    </row>
    <row r="32" spans="3:11" x14ac:dyDescent="0.45">
      <c r="C32" s="6" t="s">
        <v>66</v>
      </c>
      <c r="D32" s="25">
        <v>14</v>
      </c>
      <c r="G32" s="6" t="s">
        <v>66</v>
      </c>
      <c r="H32" s="9">
        <v>33.071428571428569</v>
      </c>
      <c r="J32" s="6" t="s">
        <v>66</v>
      </c>
      <c r="K32" s="9">
        <v>5</v>
      </c>
    </row>
    <row r="33" spans="1:11" x14ac:dyDescent="0.45">
      <c r="C33" s="6" t="s">
        <v>67</v>
      </c>
      <c r="D33" s="25">
        <v>18</v>
      </c>
      <c r="G33" s="6" t="s">
        <v>67</v>
      </c>
      <c r="H33" s="9">
        <v>36.444444444444443</v>
      </c>
      <c r="J33" s="6" t="s">
        <v>67</v>
      </c>
      <c r="K33" s="9">
        <v>1.4</v>
      </c>
    </row>
    <row r="34" spans="1:11" x14ac:dyDescent="0.45">
      <c r="C34" s="7" t="s">
        <v>4</v>
      </c>
      <c r="D34" s="26">
        <v>513</v>
      </c>
      <c r="G34" s="7" t="s">
        <v>4</v>
      </c>
      <c r="H34" s="2">
        <v>36.323586744639378</v>
      </c>
      <c r="J34" s="7" t="s">
        <v>4</v>
      </c>
      <c r="K34" s="2">
        <v>4.9591836734693882</v>
      </c>
    </row>
    <row r="36" spans="1:11" x14ac:dyDescent="0.45">
      <c r="A36" s="4" t="s">
        <v>5</v>
      </c>
      <c r="B36" s="1" t="s">
        <v>9</v>
      </c>
      <c r="D36" s="1" t="s">
        <v>9</v>
      </c>
    </row>
    <row r="37" spans="1:11" x14ac:dyDescent="0.45">
      <c r="A37" s="5" t="s">
        <v>7</v>
      </c>
      <c r="B37" s="8">
        <v>269</v>
      </c>
      <c r="D37" s="10">
        <v>0.49549549549549549</v>
      </c>
    </row>
    <row r="38" spans="1:11" x14ac:dyDescent="0.45">
      <c r="A38" s="6" t="s">
        <v>8</v>
      </c>
      <c r="B38" s="9">
        <v>244</v>
      </c>
      <c r="D38" s="11">
        <v>0.50450450450450446</v>
      </c>
    </row>
    <row r="39" spans="1:11" x14ac:dyDescent="0.45">
      <c r="A39" s="7" t="s">
        <v>4</v>
      </c>
      <c r="B39" s="2">
        <v>513</v>
      </c>
      <c r="D39" s="12">
        <v>1</v>
      </c>
    </row>
    <row r="41" spans="1:11" ht="15.4" customHeight="1" x14ac:dyDescent="0.45">
      <c r="B41" s="17" t="s">
        <v>10</v>
      </c>
      <c r="C41" s="17" t="s">
        <v>11</v>
      </c>
      <c r="D41" s="17" t="s">
        <v>12</v>
      </c>
      <c r="E41" s="16"/>
      <c r="F41" s="13"/>
    </row>
    <row r="42" spans="1:11" ht="20.25" customHeight="1" x14ac:dyDescent="0.45">
      <c r="B42" s="18" t="str">
        <f>A38</f>
        <v>Not Admitted</v>
      </c>
      <c r="C42" s="19">
        <f>B38</f>
        <v>244</v>
      </c>
      <c r="D42" s="20">
        <f>D38</f>
        <v>0.50450450450450446</v>
      </c>
      <c r="E42" s="14"/>
    </row>
    <row r="43" spans="1:11" ht="19.149999999999999" customHeight="1" x14ac:dyDescent="0.45">
      <c r="B43" s="21" t="str">
        <f>A37</f>
        <v>Admitted</v>
      </c>
      <c r="C43" s="22">
        <f>B37</f>
        <v>269</v>
      </c>
      <c r="D43" s="23">
        <f>D37</f>
        <v>0.49549549549549549</v>
      </c>
      <c r="E43" s="15"/>
    </row>
    <row r="45" spans="1:11" x14ac:dyDescent="0.45">
      <c r="A45" s="4" t="s">
        <v>5</v>
      </c>
      <c r="B45" s="1" t="s">
        <v>21</v>
      </c>
    </row>
    <row r="46" spans="1:11" x14ac:dyDescent="0.45">
      <c r="A46" s="5" t="s">
        <v>13</v>
      </c>
      <c r="B46" s="30">
        <v>76</v>
      </c>
      <c r="D46" s="4" t="s">
        <v>5</v>
      </c>
      <c r="E46" s="1" t="s">
        <v>26</v>
      </c>
    </row>
    <row r="47" spans="1:11" x14ac:dyDescent="0.45">
      <c r="A47" s="6" t="s">
        <v>14</v>
      </c>
      <c r="B47" s="31">
        <v>69</v>
      </c>
      <c r="D47" s="5" t="s">
        <v>24</v>
      </c>
      <c r="E47" s="30">
        <v>241</v>
      </c>
    </row>
    <row r="48" spans="1:11" x14ac:dyDescent="0.45">
      <c r="A48" s="6" t="s">
        <v>15</v>
      </c>
      <c r="B48" s="31">
        <v>64</v>
      </c>
      <c r="D48" s="6" t="s">
        <v>25</v>
      </c>
      <c r="E48" s="31">
        <v>272</v>
      </c>
    </row>
    <row r="49" spans="1:5" x14ac:dyDescent="0.45">
      <c r="A49" s="6" t="s">
        <v>16</v>
      </c>
      <c r="B49" s="31">
        <v>59</v>
      </c>
      <c r="D49" s="7" t="s">
        <v>4</v>
      </c>
      <c r="E49" s="32">
        <v>513</v>
      </c>
    </row>
    <row r="50" spans="1:5" x14ac:dyDescent="0.45">
      <c r="A50" s="6" t="s">
        <v>17</v>
      </c>
      <c r="B50" s="31">
        <v>58</v>
      </c>
    </row>
    <row r="51" spans="1:5" x14ac:dyDescent="0.45">
      <c r="A51" s="6" t="s">
        <v>18</v>
      </c>
      <c r="B51" s="31">
        <v>66</v>
      </c>
    </row>
    <row r="52" spans="1:5" x14ac:dyDescent="0.45">
      <c r="A52" s="6" t="s">
        <v>19</v>
      </c>
      <c r="B52" s="31">
        <v>67</v>
      </c>
      <c r="D52" s="4" t="s">
        <v>5</v>
      </c>
      <c r="E52" s="1" t="s">
        <v>35</v>
      </c>
    </row>
    <row r="53" spans="1:5" x14ac:dyDescent="0.45">
      <c r="A53" s="6" t="s">
        <v>20</v>
      </c>
      <c r="B53" s="31">
        <v>54</v>
      </c>
      <c r="D53" s="5" t="s">
        <v>28</v>
      </c>
      <c r="E53" s="30">
        <v>4</v>
      </c>
    </row>
    <row r="54" spans="1:5" x14ac:dyDescent="0.45">
      <c r="A54" s="7" t="s">
        <v>4</v>
      </c>
      <c r="B54" s="32">
        <v>513</v>
      </c>
      <c r="D54" s="6" t="s">
        <v>34</v>
      </c>
      <c r="E54" s="31">
        <v>5</v>
      </c>
    </row>
    <row r="55" spans="1:5" x14ac:dyDescent="0.45">
      <c r="D55" s="6" t="s">
        <v>30</v>
      </c>
      <c r="E55" s="31">
        <v>9</v>
      </c>
    </row>
    <row r="56" spans="1:5" x14ac:dyDescent="0.45">
      <c r="D56" s="6" t="s">
        <v>33</v>
      </c>
      <c r="E56" s="31">
        <v>14</v>
      </c>
    </row>
    <row r="57" spans="1:5" x14ac:dyDescent="0.45">
      <c r="A57" s="4" t="s">
        <v>5</v>
      </c>
      <c r="B57" s="1" t="s">
        <v>6</v>
      </c>
      <c r="D57" s="6" t="s">
        <v>27</v>
      </c>
      <c r="E57" s="31">
        <v>14</v>
      </c>
    </row>
    <row r="58" spans="1:5" x14ac:dyDescent="0.45">
      <c r="A58" s="5" t="s">
        <v>23</v>
      </c>
      <c r="B58" s="30">
        <v>316</v>
      </c>
      <c r="D58" s="6" t="s">
        <v>32</v>
      </c>
      <c r="E58" s="31">
        <v>65</v>
      </c>
    </row>
    <row r="59" spans="1:5" x14ac:dyDescent="0.45">
      <c r="A59" s="6" t="s">
        <v>22</v>
      </c>
      <c r="B59" s="31">
        <v>197</v>
      </c>
      <c r="D59" s="6" t="s">
        <v>29</v>
      </c>
      <c r="E59" s="31">
        <v>103</v>
      </c>
    </row>
    <row r="60" spans="1:5" x14ac:dyDescent="0.45">
      <c r="A60" s="7" t="s">
        <v>4</v>
      </c>
      <c r="B60" s="32">
        <v>513</v>
      </c>
      <c r="D60" s="6" t="s">
        <v>31</v>
      </c>
      <c r="E60" s="31">
        <v>299</v>
      </c>
    </row>
    <row r="61" spans="1:5" x14ac:dyDescent="0.45">
      <c r="D61" s="7" t="s">
        <v>4</v>
      </c>
      <c r="E61" s="32">
        <v>513</v>
      </c>
    </row>
    <row r="63" spans="1:5" x14ac:dyDescent="0.45">
      <c r="A63" s="27" t="s">
        <v>5</v>
      </c>
    </row>
    <row r="64" spans="1:5" x14ac:dyDescent="0.45">
      <c r="A64" s="28" t="s">
        <v>36</v>
      </c>
    </row>
    <row r="65" spans="1:1" x14ac:dyDescent="0.45">
      <c r="A65" s="29" t="s">
        <v>4</v>
      </c>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923EF-F568-4D19-9A6D-FC2355791F1A}">
  <dimension ref="A1:U28"/>
  <sheetViews>
    <sheetView tabSelected="1" workbookViewId="0">
      <selection activeCell="T14" sqref="T14"/>
    </sheetView>
  </sheetViews>
  <sheetFormatPr defaultRowHeight="14.25" x14ac:dyDescent="0.45"/>
  <cols>
    <col min="4" max="4" width="9.3984375" customWidth="1"/>
  </cols>
  <sheetData>
    <row r="1" spans="1:21" x14ac:dyDescent="0.45">
      <c r="A1" s="3"/>
      <c r="B1" s="3"/>
      <c r="C1" s="3"/>
      <c r="D1" s="3"/>
      <c r="E1" s="3"/>
      <c r="F1" s="3"/>
      <c r="G1" s="3"/>
      <c r="H1" s="3"/>
      <c r="I1" s="3"/>
      <c r="J1" s="3"/>
      <c r="K1" s="3"/>
      <c r="L1" s="3"/>
      <c r="M1" s="3"/>
      <c r="N1" s="3"/>
      <c r="O1" s="3"/>
      <c r="P1" s="3"/>
      <c r="Q1" s="3"/>
      <c r="R1" s="3"/>
      <c r="S1" s="3"/>
      <c r="T1" s="3"/>
      <c r="U1" s="3"/>
    </row>
    <row r="2" spans="1:21" x14ac:dyDescent="0.45">
      <c r="A2" s="3"/>
      <c r="B2" s="3"/>
      <c r="C2" s="3"/>
      <c r="D2" s="3"/>
      <c r="E2" s="3"/>
      <c r="F2" s="3"/>
      <c r="G2" s="3"/>
      <c r="H2" s="3"/>
      <c r="I2" s="3"/>
      <c r="J2" s="3"/>
      <c r="K2" s="3"/>
      <c r="L2" s="3"/>
      <c r="M2" s="3"/>
      <c r="N2" s="3"/>
      <c r="O2" s="3"/>
      <c r="P2" s="3"/>
      <c r="Q2" s="3"/>
      <c r="R2" s="3"/>
      <c r="S2" s="3"/>
      <c r="T2" s="3"/>
      <c r="U2" s="3"/>
    </row>
    <row r="3" spans="1:21" x14ac:dyDescent="0.45">
      <c r="A3" s="3"/>
      <c r="B3" s="3"/>
      <c r="C3" s="3"/>
      <c r="D3" s="3"/>
      <c r="E3" s="3"/>
      <c r="F3" s="3"/>
      <c r="G3" s="3"/>
      <c r="H3" s="3"/>
      <c r="I3" s="3"/>
      <c r="J3" s="3"/>
      <c r="K3" s="3"/>
      <c r="L3" s="3"/>
      <c r="M3" s="3"/>
      <c r="N3" s="3"/>
      <c r="O3" s="3"/>
      <c r="P3" s="3"/>
      <c r="Q3" s="3"/>
      <c r="R3" s="3"/>
      <c r="S3" s="3"/>
      <c r="T3" s="3"/>
      <c r="U3" s="3"/>
    </row>
    <row r="4" spans="1:21" x14ac:dyDescent="0.45">
      <c r="A4" s="3"/>
      <c r="B4" s="3"/>
      <c r="C4" s="3"/>
      <c r="D4" s="3"/>
      <c r="E4" s="3"/>
      <c r="F4" s="3"/>
      <c r="G4" s="3"/>
      <c r="H4" s="3"/>
      <c r="I4" s="3"/>
      <c r="J4" s="3"/>
      <c r="K4" s="3"/>
      <c r="L4" s="3"/>
      <c r="M4" s="3"/>
      <c r="N4" s="3"/>
      <c r="O4" s="3"/>
      <c r="P4" s="3"/>
      <c r="Q4" s="3"/>
      <c r="R4" s="3"/>
      <c r="S4" s="3"/>
      <c r="T4" s="3"/>
      <c r="U4" s="3"/>
    </row>
    <row r="5" spans="1:21" x14ac:dyDescent="0.45">
      <c r="A5" s="3"/>
      <c r="B5" s="3"/>
      <c r="C5" s="3"/>
      <c r="D5" s="3"/>
      <c r="E5" s="3"/>
      <c r="F5" s="3"/>
      <c r="G5" s="3"/>
      <c r="H5" s="3"/>
      <c r="I5" s="3"/>
      <c r="J5" s="3"/>
      <c r="K5" s="3"/>
      <c r="L5" s="3"/>
      <c r="M5" s="3"/>
      <c r="N5" s="3"/>
      <c r="O5" s="3"/>
      <c r="P5" s="3"/>
      <c r="Q5" s="3"/>
      <c r="R5" s="3"/>
      <c r="S5" s="3"/>
      <c r="T5" s="3"/>
      <c r="U5" s="3"/>
    </row>
    <row r="6" spans="1:21" x14ac:dyDescent="0.45">
      <c r="A6" s="3"/>
      <c r="B6" s="3"/>
      <c r="C6" s="3"/>
      <c r="D6" s="3"/>
      <c r="E6" s="3"/>
      <c r="F6" s="3"/>
      <c r="G6" s="3"/>
      <c r="H6" s="3"/>
      <c r="I6" s="3"/>
      <c r="J6" s="3"/>
      <c r="K6" s="3"/>
      <c r="L6" s="3"/>
      <c r="M6" s="3"/>
      <c r="N6" s="3"/>
      <c r="O6" s="3"/>
      <c r="P6" s="3"/>
      <c r="Q6" s="3"/>
      <c r="R6" s="3"/>
      <c r="S6" s="3"/>
      <c r="T6" s="3"/>
      <c r="U6" s="3"/>
    </row>
    <row r="7" spans="1:21" x14ac:dyDescent="0.45">
      <c r="A7" s="3"/>
      <c r="B7" s="3"/>
      <c r="C7" s="3"/>
      <c r="D7" s="3"/>
      <c r="E7" s="3"/>
      <c r="F7" s="3"/>
      <c r="G7" s="3"/>
      <c r="H7" s="3"/>
      <c r="I7" s="3"/>
      <c r="J7" s="3"/>
      <c r="K7" s="3"/>
      <c r="L7" s="3"/>
      <c r="M7" s="3"/>
      <c r="N7" s="3"/>
      <c r="O7" s="3"/>
      <c r="P7" s="3"/>
      <c r="Q7" s="3"/>
      <c r="R7" s="3"/>
      <c r="S7" s="3"/>
      <c r="T7" s="3"/>
      <c r="U7" s="3"/>
    </row>
    <row r="8" spans="1:21" x14ac:dyDescent="0.45">
      <c r="A8" s="3"/>
      <c r="B8" s="3"/>
      <c r="C8" s="3"/>
      <c r="D8" s="3"/>
      <c r="E8" s="3"/>
      <c r="F8" s="3"/>
      <c r="G8" s="3"/>
      <c r="H8" s="3"/>
      <c r="I8" s="3"/>
      <c r="J8" s="3"/>
      <c r="K8" s="3"/>
      <c r="L8" s="3"/>
      <c r="M8" s="3"/>
      <c r="N8" s="3"/>
      <c r="O8" s="3"/>
      <c r="P8" s="3"/>
      <c r="Q8" s="3"/>
      <c r="R8" s="3"/>
      <c r="S8" s="3"/>
      <c r="T8" s="3"/>
      <c r="U8" s="3"/>
    </row>
    <row r="9" spans="1:21" x14ac:dyDescent="0.45">
      <c r="A9" s="3"/>
      <c r="B9" s="3"/>
      <c r="C9" s="3"/>
      <c r="D9" s="3"/>
      <c r="E9" s="3"/>
      <c r="F9" s="3"/>
      <c r="G9" s="3"/>
      <c r="H9" s="3"/>
      <c r="I9" s="3"/>
      <c r="J9" s="3"/>
      <c r="K9" s="3"/>
      <c r="L9" s="3"/>
      <c r="M9" s="3"/>
      <c r="N9" s="3"/>
      <c r="O9" s="3"/>
      <c r="P9" s="3"/>
      <c r="Q9" s="3"/>
      <c r="R9" s="3"/>
      <c r="S9" s="3"/>
      <c r="T9" s="3"/>
      <c r="U9" s="3"/>
    </row>
    <row r="10" spans="1:21" x14ac:dyDescent="0.45">
      <c r="A10" s="3"/>
      <c r="B10" s="3"/>
      <c r="C10" s="3"/>
      <c r="D10" s="3"/>
      <c r="E10" s="3"/>
      <c r="F10" s="3"/>
      <c r="G10" s="3"/>
      <c r="H10" s="3"/>
      <c r="I10" s="3"/>
      <c r="J10" s="3"/>
      <c r="K10" s="3"/>
      <c r="L10" s="3"/>
      <c r="M10" s="3"/>
      <c r="N10" s="3"/>
      <c r="O10" s="3"/>
      <c r="P10" s="3"/>
      <c r="Q10" s="3"/>
      <c r="R10" s="3"/>
      <c r="S10" s="3"/>
      <c r="T10" s="3"/>
      <c r="U10" s="3"/>
    </row>
    <row r="11" spans="1:21" x14ac:dyDescent="0.45">
      <c r="A11" s="3"/>
      <c r="B11" s="3"/>
      <c r="C11" s="3"/>
      <c r="D11" s="3"/>
      <c r="E11" s="3"/>
      <c r="F11" s="3"/>
      <c r="G11" s="3"/>
      <c r="H11" s="3"/>
      <c r="I11" s="3"/>
      <c r="J11" s="3"/>
      <c r="K11" s="3"/>
      <c r="L11" s="3"/>
      <c r="M11" s="3"/>
      <c r="N11" s="3"/>
      <c r="O11" s="3"/>
      <c r="P11" s="3"/>
      <c r="Q11" s="3"/>
      <c r="R11" s="3"/>
      <c r="S11" s="3"/>
      <c r="T11" s="3"/>
      <c r="U11" s="3"/>
    </row>
    <row r="12" spans="1:21" x14ac:dyDescent="0.45">
      <c r="A12" s="3"/>
      <c r="B12" s="3"/>
      <c r="C12" s="3"/>
      <c r="D12" s="3"/>
      <c r="E12" s="3"/>
      <c r="F12" s="3"/>
      <c r="G12" s="3"/>
      <c r="H12" s="3"/>
      <c r="I12" s="3"/>
      <c r="J12" s="3"/>
      <c r="K12" s="3"/>
      <c r="L12" s="3"/>
      <c r="M12" s="3"/>
      <c r="N12" s="3"/>
      <c r="O12" s="3"/>
      <c r="P12" s="3"/>
      <c r="Q12" s="3"/>
      <c r="R12" s="3"/>
      <c r="S12" s="3"/>
      <c r="T12" s="3"/>
      <c r="U12" s="3"/>
    </row>
    <row r="13" spans="1:21" x14ac:dyDescent="0.45">
      <c r="A13" s="3"/>
      <c r="B13" s="3"/>
      <c r="C13" s="3"/>
      <c r="D13" s="3"/>
      <c r="E13" s="3"/>
      <c r="F13" s="3"/>
      <c r="G13" s="3"/>
      <c r="H13" s="3"/>
      <c r="I13" s="3"/>
      <c r="J13" s="3"/>
      <c r="K13" s="3"/>
      <c r="L13" s="3"/>
      <c r="M13" s="3"/>
      <c r="N13" s="3"/>
      <c r="O13" s="3"/>
      <c r="P13" s="3"/>
      <c r="Q13" s="3"/>
      <c r="R13" s="3"/>
      <c r="S13" s="3"/>
      <c r="T13" s="3"/>
      <c r="U13" s="3"/>
    </row>
    <row r="14" spans="1:21" x14ac:dyDescent="0.45">
      <c r="A14" s="3"/>
      <c r="B14" s="3"/>
      <c r="C14" s="3"/>
      <c r="D14" s="3"/>
      <c r="E14" s="3"/>
      <c r="F14" s="3"/>
      <c r="G14" s="3"/>
      <c r="H14" s="3"/>
      <c r="I14" s="3"/>
      <c r="J14" s="3"/>
      <c r="K14" s="3"/>
      <c r="L14" s="3"/>
      <c r="M14" s="3"/>
      <c r="N14" s="3"/>
      <c r="O14" s="3"/>
      <c r="P14" s="3"/>
      <c r="Q14" s="3"/>
      <c r="R14" s="3"/>
      <c r="S14" s="3"/>
      <c r="T14" s="3"/>
      <c r="U14" s="3"/>
    </row>
    <row r="15" spans="1:21" x14ac:dyDescent="0.45">
      <c r="A15" s="3"/>
      <c r="B15" s="3"/>
      <c r="C15" s="3"/>
      <c r="D15" s="3"/>
      <c r="E15" s="3"/>
      <c r="F15" s="3"/>
      <c r="G15" s="3"/>
      <c r="H15" s="3"/>
      <c r="I15" s="3"/>
      <c r="J15" s="3"/>
      <c r="K15" s="3"/>
      <c r="L15" s="3"/>
      <c r="M15" s="3"/>
      <c r="N15" s="3"/>
      <c r="O15" s="3"/>
      <c r="P15" s="3"/>
      <c r="Q15" s="3"/>
      <c r="R15" s="3"/>
      <c r="S15" s="3"/>
      <c r="T15" s="3"/>
      <c r="U15" s="3"/>
    </row>
    <row r="16" spans="1:21" x14ac:dyDescent="0.45">
      <c r="A16" s="3"/>
      <c r="B16" s="3"/>
      <c r="C16" s="3"/>
      <c r="D16" s="3"/>
      <c r="E16" s="3"/>
      <c r="F16" s="3"/>
      <c r="G16" s="3"/>
      <c r="H16" s="3"/>
      <c r="I16" s="3"/>
      <c r="J16" s="3"/>
      <c r="K16" s="3"/>
      <c r="L16" s="3"/>
      <c r="M16" s="3"/>
      <c r="N16" s="3"/>
      <c r="O16" s="3"/>
      <c r="P16" s="3"/>
      <c r="Q16" s="3"/>
      <c r="R16" s="3"/>
      <c r="S16" s="3"/>
      <c r="T16" s="3"/>
      <c r="U16" s="3"/>
    </row>
    <row r="17" spans="1:21" x14ac:dyDescent="0.45">
      <c r="A17" s="3"/>
      <c r="B17" s="3"/>
      <c r="C17" s="3"/>
      <c r="D17" s="3"/>
      <c r="E17" s="3"/>
      <c r="F17" s="3"/>
      <c r="G17" s="3"/>
      <c r="H17" s="3"/>
      <c r="I17" s="3"/>
      <c r="J17" s="3"/>
      <c r="K17" s="3"/>
      <c r="L17" s="3"/>
      <c r="M17" s="3"/>
      <c r="N17" s="3"/>
      <c r="O17" s="3"/>
      <c r="P17" s="3"/>
      <c r="Q17" s="3"/>
      <c r="R17" s="3"/>
      <c r="S17" s="3"/>
      <c r="T17" s="3"/>
      <c r="U17" s="3"/>
    </row>
    <row r="18" spans="1:21" x14ac:dyDescent="0.45">
      <c r="A18" s="3"/>
      <c r="B18" s="3"/>
      <c r="C18" s="3"/>
      <c r="D18" s="3"/>
      <c r="E18" s="3"/>
      <c r="F18" s="3"/>
      <c r="G18" s="3"/>
      <c r="H18" s="3"/>
      <c r="I18" s="3"/>
      <c r="J18" s="3"/>
      <c r="K18" s="3"/>
      <c r="L18" s="3"/>
      <c r="M18" s="3"/>
      <c r="N18" s="3"/>
      <c r="O18" s="3"/>
      <c r="P18" s="3"/>
      <c r="Q18" s="3"/>
      <c r="R18" s="3"/>
      <c r="S18" s="3"/>
      <c r="T18" s="3"/>
      <c r="U18" s="3"/>
    </row>
    <row r="19" spans="1:21" x14ac:dyDescent="0.45">
      <c r="A19" s="3"/>
      <c r="B19" s="3"/>
      <c r="C19" s="3"/>
      <c r="D19" s="3"/>
      <c r="E19" s="3"/>
      <c r="F19" s="3"/>
      <c r="G19" s="3"/>
      <c r="H19" s="3"/>
      <c r="I19" s="3"/>
      <c r="J19" s="3"/>
      <c r="K19" s="3"/>
      <c r="L19" s="3"/>
      <c r="M19" s="3"/>
      <c r="N19" s="3"/>
      <c r="O19" s="3"/>
      <c r="P19" s="3"/>
      <c r="Q19" s="3"/>
      <c r="R19" s="3"/>
      <c r="S19" s="3"/>
      <c r="T19" s="3"/>
      <c r="U19" s="3"/>
    </row>
    <row r="20" spans="1:21" x14ac:dyDescent="0.45">
      <c r="A20" s="3"/>
      <c r="B20" s="3"/>
      <c r="C20" s="3"/>
      <c r="D20" s="3"/>
      <c r="E20" s="3"/>
      <c r="F20" s="3"/>
      <c r="G20" s="3"/>
      <c r="H20" s="3"/>
      <c r="I20" s="3"/>
      <c r="J20" s="3"/>
      <c r="K20" s="3"/>
      <c r="L20" s="3"/>
      <c r="M20" s="3"/>
      <c r="N20" s="3"/>
      <c r="O20" s="3"/>
      <c r="P20" s="3"/>
      <c r="Q20" s="3"/>
      <c r="R20" s="3"/>
      <c r="S20" s="3"/>
      <c r="T20" s="3"/>
      <c r="U20" s="3"/>
    </row>
    <row r="21" spans="1:21" x14ac:dyDescent="0.45">
      <c r="A21" s="3"/>
      <c r="B21" s="3"/>
      <c r="C21" s="3"/>
      <c r="D21" s="3"/>
      <c r="E21" s="3"/>
      <c r="F21" s="3"/>
      <c r="G21" s="3"/>
      <c r="H21" s="3"/>
      <c r="I21" s="3"/>
      <c r="J21" s="3"/>
      <c r="K21" s="3"/>
      <c r="L21" s="3"/>
      <c r="M21" s="3"/>
      <c r="N21" s="3"/>
      <c r="O21" s="3"/>
      <c r="P21" s="3"/>
      <c r="Q21" s="3"/>
      <c r="R21" s="3"/>
      <c r="S21" s="3"/>
      <c r="T21" s="3"/>
      <c r="U21" s="3"/>
    </row>
    <row r="22" spans="1:21" x14ac:dyDescent="0.45">
      <c r="A22" s="3"/>
      <c r="B22" s="3"/>
      <c r="C22" s="3"/>
      <c r="D22" s="3"/>
      <c r="E22" s="3"/>
      <c r="F22" s="3"/>
      <c r="G22" s="3"/>
      <c r="H22" s="3"/>
      <c r="I22" s="3"/>
      <c r="J22" s="3"/>
      <c r="K22" s="3"/>
      <c r="L22" s="3"/>
      <c r="M22" s="3"/>
      <c r="N22" s="3"/>
      <c r="O22" s="3"/>
      <c r="P22" s="3"/>
      <c r="Q22" s="3"/>
      <c r="R22" s="3"/>
      <c r="S22" s="3"/>
      <c r="T22" s="3"/>
      <c r="U22" s="3"/>
    </row>
    <row r="23" spans="1:21" x14ac:dyDescent="0.45">
      <c r="A23" s="3"/>
      <c r="B23" s="3"/>
      <c r="C23" s="3"/>
      <c r="D23" s="3"/>
      <c r="E23" s="3"/>
      <c r="F23" s="3"/>
      <c r="G23" s="3"/>
      <c r="H23" s="3"/>
      <c r="I23" s="3"/>
      <c r="J23" s="3"/>
      <c r="K23" s="3"/>
      <c r="L23" s="3"/>
      <c r="M23" s="3"/>
      <c r="N23" s="3"/>
      <c r="O23" s="3"/>
      <c r="P23" s="3"/>
      <c r="Q23" s="3"/>
      <c r="R23" s="3"/>
      <c r="S23" s="3"/>
      <c r="T23" s="3"/>
      <c r="U23" s="3"/>
    </row>
    <row r="24" spans="1:21" x14ac:dyDescent="0.45">
      <c r="A24" s="3"/>
      <c r="B24" s="3"/>
      <c r="C24" s="3"/>
      <c r="D24" s="3"/>
      <c r="E24" s="3"/>
      <c r="F24" s="3"/>
      <c r="G24" s="3"/>
      <c r="H24" s="3"/>
      <c r="I24" s="3"/>
      <c r="J24" s="3"/>
      <c r="K24" s="3"/>
      <c r="L24" s="3"/>
      <c r="M24" s="3"/>
      <c r="N24" s="3"/>
      <c r="O24" s="3"/>
      <c r="P24" s="3"/>
      <c r="Q24" s="3"/>
      <c r="R24" s="3"/>
      <c r="S24" s="3"/>
      <c r="T24" s="3"/>
      <c r="U24" s="3"/>
    </row>
    <row r="25" spans="1:21" x14ac:dyDescent="0.45">
      <c r="A25" s="3"/>
      <c r="B25" s="3"/>
      <c r="C25" s="3"/>
      <c r="D25" s="3"/>
      <c r="E25" s="3"/>
      <c r="F25" s="3"/>
      <c r="G25" s="3"/>
      <c r="H25" s="3"/>
      <c r="I25" s="3"/>
      <c r="J25" s="3"/>
      <c r="K25" s="3"/>
      <c r="L25" s="3"/>
      <c r="M25" s="3"/>
      <c r="N25" s="3"/>
      <c r="O25" s="3"/>
      <c r="P25" s="3"/>
      <c r="Q25" s="3"/>
      <c r="R25" s="3"/>
      <c r="S25" s="3"/>
      <c r="T25" s="3"/>
      <c r="U25" s="3"/>
    </row>
    <row r="26" spans="1:21" x14ac:dyDescent="0.45">
      <c r="A26" s="3"/>
      <c r="B26" s="3"/>
      <c r="C26" s="3"/>
      <c r="D26" s="3"/>
      <c r="E26" s="3"/>
      <c r="F26" s="3"/>
      <c r="G26" s="3"/>
      <c r="H26" s="3"/>
      <c r="I26" s="3"/>
      <c r="J26" s="3"/>
      <c r="K26" s="3"/>
      <c r="L26" s="3"/>
      <c r="M26" s="3"/>
      <c r="N26" s="3"/>
      <c r="O26" s="3"/>
      <c r="P26" s="3"/>
      <c r="Q26" s="3"/>
      <c r="R26" s="3"/>
      <c r="S26" s="3"/>
      <c r="T26" s="3"/>
      <c r="U26" s="3"/>
    </row>
    <row r="27" spans="1:21" x14ac:dyDescent="0.45">
      <c r="A27" s="3"/>
      <c r="B27" s="3"/>
      <c r="C27" s="3"/>
      <c r="D27" s="3"/>
      <c r="E27" s="3"/>
      <c r="F27" s="3"/>
      <c r="G27" s="3"/>
      <c r="H27" s="3"/>
      <c r="I27" s="3"/>
      <c r="J27" s="3"/>
      <c r="K27" s="3"/>
      <c r="L27" s="3"/>
      <c r="M27" s="3"/>
      <c r="N27" s="3"/>
      <c r="O27" s="3"/>
      <c r="P27" s="3"/>
      <c r="Q27" s="3"/>
      <c r="R27" s="3"/>
      <c r="S27" s="3"/>
      <c r="T27" s="3"/>
      <c r="U27" s="3"/>
    </row>
    <row r="28" spans="1:21" x14ac:dyDescent="0.45">
      <c r="A28" s="3"/>
      <c r="B28" s="3"/>
      <c r="C28" s="3"/>
      <c r="D28" s="3"/>
      <c r="E28" s="3"/>
      <c r="F28" s="3"/>
      <c r="G28" s="3"/>
      <c r="H28" s="3"/>
      <c r="I28" s="3"/>
      <c r="J28" s="3"/>
      <c r="K28" s="3"/>
      <c r="L28" s="3"/>
      <c r="M28" s="3"/>
      <c r="N28" s="3"/>
      <c r="O28" s="3"/>
      <c r="P28" s="3"/>
      <c r="Q28" s="3"/>
      <c r="R28" s="3"/>
      <c r="S28" s="3"/>
      <c r="T28" s="3"/>
      <c r="U28"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D81C5-C0B5-4750-A2E2-82252F738028}">
  <dimension ref="A1"/>
  <sheetViews>
    <sheetView workbookViewId="0">
      <selection activeCell="D3" sqref="D3"/>
    </sheetView>
  </sheetViews>
  <sheetFormatPr defaultRowHeight="14.25" x14ac:dyDescent="0.4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95918-BC43-4209-8D65-5353E01A1AB6}">
  <dimension ref="A1"/>
  <sheetViews>
    <sheetView workbookViewId="0"/>
  </sheetViews>
  <sheetFormatPr defaultRowHeight="14.25" x14ac:dyDescent="0.4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2C09-75C2-4AFB-BBE9-EE1623A1ECA3}">
  <dimension ref="A1"/>
  <sheetViews>
    <sheetView workbookViewId="0"/>
  </sheetViews>
  <sheetFormatPr defaultRowHeight="14.25" x14ac:dyDescent="0.4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45CA32F6-9284-4DED-9762-F5B1ECD4E2FC}">
  <ds:schemaRefs/>
</ds:datastoreItem>
</file>

<file path=customXml/itemProps2.xml><?xml version="1.0" encoding="utf-8"?>
<ds:datastoreItem xmlns:ds="http://schemas.openxmlformats.org/officeDocument/2006/customXml" ds:itemID="{7D9ED46F-6342-4C67-A618-5BD879F859C3}">
  <ds:schemaRefs/>
</ds:datastoreItem>
</file>

<file path=customXml/itemProps3.xml><?xml version="1.0" encoding="utf-8"?>
<ds:datastoreItem xmlns:ds="http://schemas.openxmlformats.org/officeDocument/2006/customXml" ds:itemID="{AD8CE573-E2F6-40CB-B76B-3EE52407BB82}">
  <ds:schemaRefs/>
</ds:datastoreItem>
</file>

<file path=customXml/itemProps4.xml><?xml version="1.0" encoding="utf-8"?>
<ds:datastoreItem xmlns:ds="http://schemas.openxmlformats.org/officeDocument/2006/customXml" ds:itemID="{DD9049F0-668C-47A1-85D1-87191878F96D}">
  <ds:schemaRefs/>
</ds:datastoreItem>
</file>

<file path=customXml/itemProps5.xml><?xml version="1.0" encoding="utf-8"?>
<ds:datastoreItem xmlns:ds="http://schemas.openxmlformats.org/officeDocument/2006/customXml" ds:itemID="{1A311885-8618-4F08-87C8-39D9C5D51610}">
  <ds:schemaRefs/>
</ds:datastoreItem>
</file>

<file path=customXml/itemProps6.xml><?xml version="1.0" encoding="utf-8"?>
<ds:datastoreItem xmlns:ds="http://schemas.openxmlformats.org/officeDocument/2006/customXml" ds:itemID="{3544BF6B-104C-406F-82FB-0A76A82008CC}">
  <ds:schemaRefs>
    <ds:schemaRef ds:uri="http://schemas.microsoft.com/DataMashup"/>
  </ds:schemaRefs>
</ds:datastoreItem>
</file>

<file path=customXml/itemProps7.xml><?xml version="1.0" encoding="utf-8"?>
<ds:datastoreItem xmlns:ds="http://schemas.openxmlformats.org/officeDocument/2006/customXml" ds:itemID="{B705804F-E89A-43DB-B3FF-B0A2333B9E95}">
  <ds:schemaRefs/>
</ds:datastoreItem>
</file>

<file path=customXml/itemProps8.xml><?xml version="1.0" encoding="utf-8"?>
<ds:datastoreItem xmlns:ds="http://schemas.openxmlformats.org/officeDocument/2006/customXml" ds:itemID="{2DCF5766-AFF6-4F3A-A618-C1E597384FAD}">
  <ds:schemaRefs/>
</ds:datastoreItem>
</file>

<file path=customXml/itemProps9.xml><?xml version="1.0" encoding="utf-8"?>
<ds:datastoreItem xmlns:ds="http://schemas.openxmlformats.org/officeDocument/2006/customXml" ds:itemID="{EAE530DE-FE94-4D7C-80EC-ED6F321982B3}">
  <ds:schemaRefs/>
</ds:datastoreItem>
</file>

<file path=customXml/itemProps10.xml><?xml version="1.0" encoding="utf-8"?>
<ds:datastoreItem xmlns:ds="http://schemas.openxmlformats.org/officeDocument/2006/customXml" ds:itemID="{DCCD177D-785C-428E-9794-A40F98A8C3F4}">
  <ds:schemaRefs/>
</ds:datastoreItem>
</file>

<file path=customXml/itemProps11.xml><?xml version="1.0" encoding="utf-8"?>
<ds:datastoreItem xmlns:ds="http://schemas.openxmlformats.org/officeDocument/2006/customXml" ds:itemID="{5DD5D7DC-DF81-4A7B-80F6-961BED1E6826}">
  <ds:schemaRefs/>
</ds:datastoreItem>
</file>

<file path=customXml/itemProps12.xml><?xml version="1.0" encoding="utf-8"?>
<ds:datastoreItem xmlns:ds="http://schemas.openxmlformats.org/officeDocument/2006/customXml" ds:itemID="{BC409980-B140-4C0E-BA80-73542B80AECA}">
  <ds:schemaRefs/>
</ds:datastoreItem>
</file>

<file path=customXml/itemProps13.xml><?xml version="1.0" encoding="utf-8"?>
<ds:datastoreItem xmlns:ds="http://schemas.openxmlformats.org/officeDocument/2006/customXml" ds:itemID="{962011E3-38EE-4647-9B1F-72B333CEFD7E}">
  <ds:schemaRefs/>
</ds:datastoreItem>
</file>

<file path=customXml/itemProps14.xml><?xml version="1.0" encoding="utf-8"?>
<ds:datastoreItem xmlns:ds="http://schemas.openxmlformats.org/officeDocument/2006/customXml" ds:itemID="{ABBB44A0-2607-4300-BD60-39A379C66536}">
  <ds:schemaRefs/>
</ds:datastoreItem>
</file>

<file path=customXml/itemProps15.xml><?xml version="1.0" encoding="utf-8"?>
<ds:datastoreItem xmlns:ds="http://schemas.openxmlformats.org/officeDocument/2006/customXml" ds:itemID="{0FDEE1F1-A178-4916-8D94-56F4FD37ED53}">
  <ds:schemaRefs/>
</ds:datastoreItem>
</file>

<file path=customXml/itemProps16.xml><?xml version="1.0" encoding="utf-8"?>
<ds:datastoreItem xmlns:ds="http://schemas.openxmlformats.org/officeDocument/2006/customXml" ds:itemID="{F4B5750E-8128-41DF-AA0C-9F78DC006EC2}">
  <ds:schemaRefs/>
</ds:datastoreItem>
</file>

<file path=customXml/itemProps17.xml><?xml version="1.0" encoding="utf-8"?>
<ds:datastoreItem xmlns:ds="http://schemas.openxmlformats.org/officeDocument/2006/customXml" ds:itemID="{A661546A-8BC4-4573-AF5F-83C72CED356B}">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Avg Satisfaction score</vt:lpstr>
      <vt:lpstr>Patients daily wait time</vt:lpstr>
      <vt:lpstr>Daily Number of patients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Patil</dc:creator>
  <cp:lastModifiedBy>Yogesh Patil</cp:lastModifiedBy>
  <dcterms:created xsi:type="dcterms:W3CDTF">2025-10-17T21:08:25Z</dcterms:created>
  <dcterms:modified xsi:type="dcterms:W3CDTF">2025-11-09T00:58:00Z</dcterms:modified>
</cp:coreProperties>
</file>